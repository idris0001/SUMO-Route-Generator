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96897\Desktop\BTECH2\"/>
    </mc:Choice>
  </mc:AlternateContent>
  <xr:revisionPtr revIDLastSave="0" documentId="13_ncr:1_{5F113872-CB74-44FF-9E1E-E7A929D4F568}" xr6:coauthVersionLast="47" xr6:coauthVersionMax="47" xr10:uidLastSave="{00000000-0000-0000-0000-000000000000}"/>
  <bookViews>
    <workbookView xWindow="-98" yWindow="-98" windowWidth="19396" windowHeight="10276" xr2:uid="{250B30E9-45B0-4C33-9FE0-4C67A18CF382}"/>
  </bookViews>
  <sheets>
    <sheet name="Volu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D41" i="1" l="1"/>
  <c r="GD39" i="1"/>
  <c r="GD26" i="1"/>
  <c r="GD12" i="1"/>
  <c r="GC22" i="1"/>
  <c r="GC23" i="1"/>
  <c r="GC24" i="1"/>
  <c r="GC21" i="1"/>
  <c r="GB22" i="1"/>
  <c r="GB23" i="1"/>
  <c r="GB24" i="1"/>
  <c r="GB21" i="1"/>
  <c r="GA22" i="1"/>
  <c r="GA23" i="1"/>
  <c r="GD23" i="1" s="1"/>
  <c r="GA24" i="1"/>
  <c r="GA21" i="1"/>
  <c r="FZ22" i="1"/>
  <c r="FZ23" i="1"/>
  <c r="FZ24" i="1"/>
  <c r="FZ21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B25" i="1"/>
  <c r="GC35" i="1"/>
  <c r="GC36" i="1"/>
  <c r="GC37" i="1"/>
  <c r="GC34" i="1"/>
  <c r="GB35" i="1"/>
  <c r="GB36" i="1"/>
  <c r="GB37" i="1"/>
  <c r="GB34" i="1"/>
  <c r="GA35" i="1"/>
  <c r="GA36" i="1"/>
  <c r="GA37" i="1"/>
  <c r="GA34" i="1"/>
  <c r="FZ35" i="1"/>
  <c r="FZ36" i="1"/>
  <c r="FZ37" i="1"/>
  <c r="FZ34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B38" i="1"/>
  <c r="GC8" i="1"/>
  <c r="GC9" i="1"/>
  <c r="GC10" i="1"/>
  <c r="GC7" i="1"/>
  <c r="GB8" i="1"/>
  <c r="GB9" i="1"/>
  <c r="GB10" i="1"/>
  <c r="GB7" i="1"/>
  <c r="GA8" i="1"/>
  <c r="GA9" i="1"/>
  <c r="GA10" i="1"/>
  <c r="GA7" i="1"/>
  <c r="FZ8" i="1"/>
  <c r="FZ9" i="1"/>
  <c r="FZ10" i="1"/>
  <c r="FZ7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B11" i="1"/>
  <c r="GC25" i="1" l="1"/>
  <c r="GA25" i="1"/>
  <c r="GD24" i="1"/>
  <c r="FZ11" i="1"/>
  <c r="GD10" i="1"/>
  <c r="GD9" i="1"/>
  <c r="GA11" i="1"/>
  <c r="GD21" i="1"/>
  <c r="GD22" i="1"/>
  <c r="GC38" i="1"/>
  <c r="GD34" i="1"/>
  <c r="GD37" i="1"/>
  <c r="GD36" i="1"/>
  <c r="GD35" i="1"/>
  <c r="FZ25" i="1"/>
  <c r="GB25" i="1"/>
  <c r="GA38" i="1"/>
  <c r="GB38" i="1"/>
  <c r="FZ38" i="1"/>
  <c r="GD8" i="1"/>
  <c r="GB11" i="1"/>
  <c r="GC11" i="1"/>
  <c r="GD7" i="1"/>
  <c r="GD11" i="1" l="1"/>
  <c r="GD38" i="1"/>
  <c r="GD25" i="1"/>
</calcChain>
</file>

<file path=xl/sharedStrings.xml><?xml version="1.0" encoding="utf-8"?>
<sst xmlns="http://schemas.openxmlformats.org/spreadsheetml/2006/main" count="751" uniqueCount="30">
  <si>
    <t>Time Period</t>
  </si>
  <si>
    <t>PC</t>
  </si>
  <si>
    <t>Bus</t>
  </si>
  <si>
    <t>Truck</t>
  </si>
  <si>
    <t>Sub total</t>
  </si>
  <si>
    <t>Total</t>
  </si>
  <si>
    <t>To Muscat</t>
  </si>
  <si>
    <t>7:45 - 8:00 PM</t>
  </si>
  <si>
    <t>Straight</t>
  </si>
  <si>
    <t>Right</t>
  </si>
  <si>
    <t>Left</t>
  </si>
  <si>
    <t>U-Turn</t>
  </si>
  <si>
    <t>Rv</t>
  </si>
  <si>
    <t>To Maabilah</t>
  </si>
  <si>
    <t>LINE 1</t>
  </si>
  <si>
    <t>LINE 2</t>
  </si>
  <si>
    <t>LINE 3</t>
  </si>
  <si>
    <t>BUS</t>
  </si>
  <si>
    <t>To BARKA</t>
  </si>
  <si>
    <t>RV</t>
  </si>
  <si>
    <t>7:00 - 7:15 PM</t>
  </si>
  <si>
    <t>7:15 - 7:30 PM</t>
  </si>
  <si>
    <t>7:30 - 7:45 PM</t>
  </si>
  <si>
    <t>To Bait Albarakah palace</t>
  </si>
  <si>
    <r>
      <t xml:space="preserve">                   </t>
    </r>
    <r>
      <rPr>
        <b/>
        <sz val="11"/>
        <color theme="1"/>
        <rFont val="Aptos Narrow"/>
        <family val="2"/>
        <scheme val="minor"/>
      </rPr>
      <t>WED</t>
    </r>
  </si>
  <si>
    <t>To Bait Albarakah Palace</t>
  </si>
  <si>
    <t xml:space="preserve">                  THU</t>
  </si>
  <si>
    <t xml:space="preserve">                   SUN</t>
  </si>
  <si>
    <t>AVG=</t>
  </si>
  <si>
    <t>TAVG=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</si>
</sst>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/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/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65991-B59F-43CD-84AD-49852281CC97}">
  <dimension ref="A1:GD42"/>
  <sheetViews>
    <sheetView tabSelected="1" topLeftCell="FA16" zoomScale="60" zoomScaleNormal="60" workbookViewId="0">
      <selection activeCell="GC41" sqref="GC41"/>
    </sheetView>
  </sheetViews>
  <sheetFormatPr defaultRowHeight="14.25" x14ac:dyDescent="0.45"/>
  <cols>
    <col min="1" max="1" width="22.53125" customWidth="1"/>
    <col min="5" max="5" width="8.86328125" customWidth="1"/>
    <col min="165" max="165" width="9.06640625" customWidth="1"/>
  </cols>
  <sheetData>
    <row r="1" spans="1:186" ht="14.65" thickBot="1" x14ac:dyDescent="0.5">
      <c r="A1" t="s">
        <v>24</v>
      </c>
    </row>
    <row r="2" spans="1:186" x14ac:dyDescent="0.45">
      <c r="A2" s="30" t="s">
        <v>0</v>
      </c>
      <c r="B2" s="32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4"/>
      <c r="V2" s="32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4"/>
      <c r="AP2" s="32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5"/>
    </row>
    <row r="3" spans="1:186" x14ac:dyDescent="0.45">
      <c r="A3" s="31"/>
      <c r="B3" s="21" t="s">
        <v>6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3"/>
      <c r="BJ3" s="21" t="s">
        <v>18</v>
      </c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3"/>
      <c r="DR3" s="21" t="s">
        <v>13</v>
      </c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1" t="s">
        <v>23</v>
      </c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4" t="s">
        <v>5</v>
      </c>
      <c r="GA3" s="25"/>
      <c r="GB3" s="25"/>
      <c r="GC3" s="25"/>
      <c r="GD3" s="26"/>
    </row>
    <row r="4" spans="1:186" x14ac:dyDescent="0.45">
      <c r="A4" s="31"/>
      <c r="B4" s="21" t="s">
        <v>1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1" t="s">
        <v>17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/>
      <c r="AF4" s="21" t="s">
        <v>3</v>
      </c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1" t="s">
        <v>12</v>
      </c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1" t="s">
        <v>1</v>
      </c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1" t="s">
        <v>17</v>
      </c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3"/>
      <c r="CN4" s="21" t="s">
        <v>3</v>
      </c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1" t="s">
        <v>12</v>
      </c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1" t="s">
        <v>1</v>
      </c>
      <c r="DS4" s="22"/>
      <c r="DT4" s="22"/>
      <c r="DU4" s="22"/>
      <c r="DV4" s="22"/>
      <c r="DW4" s="22"/>
      <c r="DX4" s="22"/>
      <c r="DY4" s="22"/>
      <c r="DZ4" s="22"/>
      <c r="EA4" s="22"/>
      <c r="EB4" s="21" t="s">
        <v>17</v>
      </c>
      <c r="EC4" s="22"/>
      <c r="ED4" s="22"/>
      <c r="EE4" s="22"/>
      <c r="EF4" s="22"/>
      <c r="EG4" s="22"/>
      <c r="EH4" s="22"/>
      <c r="EI4" s="22"/>
      <c r="EJ4" s="22"/>
      <c r="EK4" s="22"/>
      <c r="EL4" s="21" t="s">
        <v>3</v>
      </c>
      <c r="EM4" s="22"/>
      <c r="EN4" s="22"/>
      <c r="EO4" s="22"/>
      <c r="EP4" s="22"/>
      <c r="EQ4" s="22"/>
      <c r="ER4" s="22"/>
      <c r="ES4" s="22"/>
      <c r="ET4" s="22"/>
      <c r="EU4" s="22"/>
      <c r="EV4" s="21" t="s">
        <v>19</v>
      </c>
      <c r="EW4" s="22"/>
      <c r="EX4" s="22"/>
      <c r="EY4" s="22"/>
      <c r="EZ4" s="22"/>
      <c r="FA4" s="22"/>
      <c r="FB4" s="22"/>
      <c r="FC4" s="22"/>
      <c r="FD4" s="22"/>
      <c r="FE4" s="22"/>
      <c r="FF4" s="21" t="s">
        <v>1</v>
      </c>
      <c r="FG4" s="22"/>
      <c r="FH4" s="22"/>
      <c r="FI4" s="22"/>
      <c r="FJ4" s="22"/>
      <c r="FK4" s="21" t="s">
        <v>17</v>
      </c>
      <c r="FL4" s="22"/>
      <c r="FM4" s="22"/>
      <c r="FN4" s="22"/>
      <c r="FO4" s="22"/>
      <c r="FP4" s="21" t="s">
        <v>3</v>
      </c>
      <c r="FQ4" s="22"/>
      <c r="FR4" s="22"/>
      <c r="FS4" s="22"/>
      <c r="FT4" s="22"/>
      <c r="FU4" s="21" t="s">
        <v>19</v>
      </c>
      <c r="FV4" s="22"/>
      <c r="FW4" s="22"/>
      <c r="FX4" s="22"/>
      <c r="FY4" s="22"/>
      <c r="FZ4" s="24"/>
      <c r="GA4" s="25"/>
      <c r="GB4" s="25"/>
      <c r="GC4" s="25"/>
      <c r="GD4" s="26"/>
    </row>
    <row r="5" spans="1:186" x14ac:dyDescent="0.45">
      <c r="A5" s="31"/>
      <c r="B5" s="21" t="s">
        <v>14</v>
      </c>
      <c r="C5" s="22"/>
      <c r="D5" s="22"/>
      <c r="E5" s="22"/>
      <c r="F5" s="22"/>
      <c r="G5" s="22" t="s">
        <v>15</v>
      </c>
      <c r="H5" s="22"/>
      <c r="I5" s="22"/>
      <c r="J5" s="22"/>
      <c r="K5" s="22"/>
      <c r="L5" s="22" t="s">
        <v>16</v>
      </c>
      <c r="M5" s="22"/>
      <c r="N5" s="22"/>
      <c r="O5" s="22"/>
      <c r="P5" s="23"/>
      <c r="Q5" s="21" t="s">
        <v>14</v>
      </c>
      <c r="R5" s="22"/>
      <c r="S5" s="22"/>
      <c r="T5" s="22"/>
      <c r="U5" s="22"/>
      <c r="V5" s="22" t="s">
        <v>15</v>
      </c>
      <c r="W5" s="22"/>
      <c r="X5" s="22"/>
      <c r="Y5" s="22"/>
      <c r="Z5" s="22"/>
      <c r="AA5" s="22" t="s">
        <v>16</v>
      </c>
      <c r="AB5" s="22"/>
      <c r="AC5" s="22"/>
      <c r="AD5" s="22"/>
      <c r="AE5" s="22"/>
      <c r="AF5" s="21" t="s">
        <v>14</v>
      </c>
      <c r="AG5" s="22"/>
      <c r="AH5" s="22"/>
      <c r="AI5" s="22"/>
      <c r="AJ5" s="22"/>
      <c r="AK5" s="22" t="s">
        <v>15</v>
      </c>
      <c r="AL5" s="22"/>
      <c r="AM5" s="22"/>
      <c r="AN5" s="22"/>
      <c r="AO5" s="22"/>
      <c r="AP5" s="22" t="s">
        <v>16</v>
      </c>
      <c r="AQ5" s="22"/>
      <c r="AR5" s="22"/>
      <c r="AS5" s="22"/>
      <c r="AT5" s="22"/>
      <c r="AU5" s="21" t="s">
        <v>14</v>
      </c>
      <c r="AV5" s="22"/>
      <c r="AW5" s="22"/>
      <c r="AX5" s="22"/>
      <c r="AY5" s="22"/>
      <c r="AZ5" s="22" t="s">
        <v>15</v>
      </c>
      <c r="BA5" s="22"/>
      <c r="BB5" s="22"/>
      <c r="BC5" s="22"/>
      <c r="BD5" s="22"/>
      <c r="BE5" s="22" t="s">
        <v>16</v>
      </c>
      <c r="BF5" s="22"/>
      <c r="BG5" s="22"/>
      <c r="BH5" s="22"/>
      <c r="BI5" s="22"/>
      <c r="BJ5" s="21" t="s">
        <v>14</v>
      </c>
      <c r="BK5" s="22"/>
      <c r="BL5" s="22"/>
      <c r="BM5" s="22"/>
      <c r="BN5" s="22"/>
      <c r="BO5" s="22" t="s">
        <v>15</v>
      </c>
      <c r="BP5" s="22"/>
      <c r="BQ5" s="22"/>
      <c r="BR5" s="22"/>
      <c r="BS5" s="22"/>
      <c r="BT5" s="22" t="s">
        <v>16</v>
      </c>
      <c r="BU5" s="22"/>
      <c r="BV5" s="22"/>
      <c r="BW5" s="22"/>
      <c r="BX5" s="23"/>
      <c r="BY5" s="21" t="s">
        <v>14</v>
      </c>
      <c r="BZ5" s="22"/>
      <c r="CA5" s="22"/>
      <c r="CB5" s="22"/>
      <c r="CC5" s="22"/>
      <c r="CD5" s="22" t="s">
        <v>15</v>
      </c>
      <c r="CE5" s="22"/>
      <c r="CF5" s="22"/>
      <c r="CG5" s="22"/>
      <c r="CH5" s="22"/>
      <c r="CI5" s="22" t="s">
        <v>16</v>
      </c>
      <c r="CJ5" s="22"/>
      <c r="CK5" s="22"/>
      <c r="CL5" s="22"/>
      <c r="CM5" s="22"/>
      <c r="CN5" s="21" t="s">
        <v>14</v>
      </c>
      <c r="CO5" s="22"/>
      <c r="CP5" s="22"/>
      <c r="CQ5" s="22"/>
      <c r="CR5" s="22"/>
      <c r="CS5" s="22" t="s">
        <v>15</v>
      </c>
      <c r="CT5" s="22"/>
      <c r="CU5" s="22"/>
      <c r="CV5" s="22"/>
      <c r="CW5" s="22"/>
      <c r="CX5" s="22" t="s">
        <v>16</v>
      </c>
      <c r="CY5" s="22"/>
      <c r="CZ5" s="22"/>
      <c r="DA5" s="22"/>
      <c r="DB5" s="22"/>
      <c r="DC5" s="21" t="s">
        <v>14</v>
      </c>
      <c r="DD5" s="22"/>
      <c r="DE5" s="22"/>
      <c r="DF5" s="22"/>
      <c r="DG5" s="22"/>
      <c r="DH5" s="22" t="s">
        <v>15</v>
      </c>
      <c r="DI5" s="22"/>
      <c r="DJ5" s="22"/>
      <c r="DK5" s="22"/>
      <c r="DL5" s="22"/>
      <c r="DM5" s="22" t="s">
        <v>16</v>
      </c>
      <c r="DN5" s="22"/>
      <c r="DO5" s="22"/>
      <c r="DP5" s="22"/>
      <c r="DQ5" s="22"/>
      <c r="DR5" s="21" t="s">
        <v>14</v>
      </c>
      <c r="DS5" s="22"/>
      <c r="DT5" s="22"/>
      <c r="DU5" s="22"/>
      <c r="DV5" s="22"/>
      <c r="DW5" s="21" t="s">
        <v>15</v>
      </c>
      <c r="DX5" s="22"/>
      <c r="DY5" s="22"/>
      <c r="DZ5" s="22"/>
      <c r="EA5" s="22"/>
      <c r="EB5" s="21" t="s">
        <v>14</v>
      </c>
      <c r="EC5" s="22"/>
      <c r="ED5" s="22"/>
      <c r="EE5" s="22"/>
      <c r="EF5" s="22"/>
      <c r="EG5" s="21" t="s">
        <v>15</v>
      </c>
      <c r="EH5" s="22"/>
      <c r="EI5" s="22"/>
      <c r="EJ5" s="22"/>
      <c r="EK5" s="22"/>
      <c r="EL5" s="21" t="s">
        <v>14</v>
      </c>
      <c r="EM5" s="22"/>
      <c r="EN5" s="22"/>
      <c r="EO5" s="22"/>
      <c r="EP5" s="22"/>
      <c r="EQ5" s="21" t="s">
        <v>15</v>
      </c>
      <c r="ER5" s="22"/>
      <c r="ES5" s="22"/>
      <c r="ET5" s="22"/>
      <c r="EU5" s="22"/>
      <c r="EV5" s="21" t="s">
        <v>14</v>
      </c>
      <c r="EW5" s="22"/>
      <c r="EX5" s="22"/>
      <c r="EY5" s="22"/>
      <c r="EZ5" s="22"/>
      <c r="FA5" s="21" t="s">
        <v>15</v>
      </c>
      <c r="FB5" s="22"/>
      <c r="FC5" s="22"/>
      <c r="FD5" s="22"/>
      <c r="FE5" s="22"/>
      <c r="FF5" s="21" t="s">
        <v>14</v>
      </c>
      <c r="FG5" s="22"/>
      <c r="FH5" s="22"/>
      <c r="FI5" s="22"/>
      <c r="FJ5" s="22"/>
      <c r="FK5" s="21" t="s">
        <v>14</v>
      </c>
      <c r="FL5" s="22"/>
      <c r="FM5" s="22"/>
      <c r="FN5" s="22"/>
      <c r="FO5" s="22"/>
      <c r="FP5" s="21" t="s">
        <v>14</v>
      </c>
      <c r="FQ5" s="22"/>
      <c r="FR5" s="22"/>
      <c r="FS5" s="22"/>
      <c r="FT5" s="22"/>
      <c r="FU5" s="21" t="s">
        <v>14</v>
      </c>
      <c r="FV5" s="22"/>
      <c r="FW5" s="22"/>
      <c r="FX5" s="22"/>
      <c r="FY5" s="22"/>
      <c r="FZ5" s="27"/>
      <c r="GA5" s="28"/>
      <c r="GB5" s="28"/>
      <c r="GC5" s="28"/>
      <c r="GD5" s="29"/>
    </row>
    <row r="6" spans="1:186" x14ac:dyDescent="0.45">
      <c r="B6" s="10" t="s">
        <v>8</v>
      </c>
      <c r="C6" s="10" t="s">
        <v>9</v>
      </c>
      <c r="D6" s="10" t="s">
        <v>10</v>
      </c>
      <c r="E6" s="10" t="s">
        <v>11</v>
      </c>
      <c r="F6" s="17" t="s">
        <v>4</v>
      </c>
      <c r="G6" s="10" t="s">
        <v>8</v>
      </c>
      <c r="H6" s="10" t="s">
        <v>9</v>
      </c>
      <c r="I6" s="10" t="s">
        <v>10</v>
      </c>
      <c r="J6" s="10" t="s">
        <v>11</v>
      </c>
      <c r="K6" s="17" t="s">
        <v>4</v>
      </c>
      <c r="L6" s="10" t="s">
        <v>8</v>
      </c>
      <c r="M6" s="10" t="s">
        <v>9</v>
      </c>
      <c r="N6" s="10" t="s">
        <v>10</v>
      </c>
      <c r="O6" s="10" t="s">
        <v>11</v>
      </c>
      <c r="P6" s="17" t="s">
        <v>4</v>
      </c>
      <c r="Q6" s="10" t="s">
        <v>8</v>
      </c>
      <c r="R6" s="10" t="s">
        <v>9</v>
      </c>
      <c r="S6" s="10" t="s">
        <v>10</v>
      </c>
      <c r="T6" s="10" t="s">
        <v>11</v>
      </c>
      <c r="U6" s="17" t="s">
        <v>4</v>
      </c>
      <c r="V6" s="10" t="s">
        <v>8</v>
      </c>
      <c r="W6" s="10" t="s">
        <v>9</v>
      </c>
      <c r="X6" s="10" t="s">
        <v>10</v>
      </c>
      <c r="Y6" s="10" t="s">
        <v>11</v>
      </c>
      <c r="Z6" s="17" t="s">
        <v>4</v>
      </c>
      <c r="AA6" s="10" t="s">
        <v>8</v>
      </c>
      <c r="AB6" s="10" t="s">
        <v>9</v>
      </c>
      <c r="AC6" s="10" t="s">
        <v>10</v>
      </c>
      <c r="AD6" s="10" t="s">
        <v>11</v>
      </c>
      <c r="AE6" s="17" t="s">
        <v>4</v>
      </c>
      <c r="AF6" s="10" t="s">
        <v>8</v>
      </c>
      <c r="AG6" s="10" t="s">
        <v>9</v>
      </c>
      <c r="AH6" s="10" t="s">
        <v>10</v>
      </c>
      <c r="AI6" s="10" t="s">
        <v>11</v>
      </c>
      <c r="AJ6" s="17" t="s">
        <v>4</v>
      </c>
      <c r="AK6" s="10" t="s">
        <v>8</v>
      </c>
      <c r="AL6" s="10" t="s">
        <v>9</v>
      </c>
      <c r="AM6" s="10" t="s">
        <v>10</v>
      </c>
      <c r="AN6" s="10" t="s">
        <v>11</v>
      </c>
      <c r="AO6" s="17" t="s">
        <v>4</v>
      </c>
      <c r="AP6" s="10" t="s">
        <v>8</v>
      </c>
      <c r="AQ6" s="10" t="s">
        <v>9</v>
      </c>
      <c r="AR6" s="10" t="s">
        <v>10</v>
      </c>
      <c r="AS6" s="10" t="s">
        <v>11</v>
      </c>
      <c r="AT6" s="17" t="s">
        <v>4</v>
      </c>
      <c r="AU6" s="10" t="s">
        <v>8</v>
      </c>
      <c r="AV6" s="10" t="s">
        <v>9</v>
      </c>
      <c r="AW6" s="10" t="s">
        <v>10</v>
      </c>
      <c r="AX6" s="10" t="s">
        <v>11</v>
      </c>
      <c r="AY6" s="17" t="s">
        <v>4</v>
      </c>
      <c r="AZ6" s="10" t="s">
        <v>8</v>
      </c>
      <c r="BA6" s="10" t="s">
        <v>9</v>
      </c>
      <c r="BB6" s="10" t="s">
        <v>10</v>
      </c>
      <c r="BC6" s="10" t="s">
        <v>11</v>
      </c>
      <c r="BD6" s="17" t="s">
        <v>4</v>
      </c>
      <c r="BE6" s="10" t="s">
        <v>8</v>
      </c>
      <c r="BF6" s="10" t="s">
        <v>9</v>
      </c>
      <c r="BG6" s="10" t="s">
        <v>10</v>
      </c>
      <c r="BH6" s="10" t="s">
        <v>11</v>
      </c>
      <c r="BI6" s="17" t="s">
        <v>4</v>
      </c>
      <c r="BJ6" s="10" t="s">
        <v>8</v>
      </c>
      <c r="BK6" s="10" t="s">
        <v>9</v>
      </c>
      <c r="BL6" s="10" t="s">
        <v>10</v>
      </c>
      <c r="BM6" s="10" t="s">
        <v>11</v>
      </c>
      <c r="BN6" s="17" t="s">
        <v>4</v>
      </c>
      <c r="BO6" s="10" t="s">
        <v>8</v>
      </c>
      <c r="BP6" s="10" t="s">
        <v>9</v>
      </c>
      <c r="BQ6" s="10" t="s">
        <v>10</v>
      </c>
      <c r="BR6" s="10" t="s">
        <v>11</v>
      </c>
      <c r="BS6" s="17" t="s">
        <v>4</v>
      </c>
      <c r="BT6" s="10" t="s">
        <v>8</v>
      </c>
      <c r="BU6" s="10" t="s">
        <v>9</v>
      </c>
      <c r="BV6" s="10" t="s">
        <v>10</v>
      </c>
      <c r="BW6" s="10" t="s">
        <v>11</v>
      </c>
      <c r="BX6" s="17" t="s">
        <v>4</v>
      </c>
      <c r="BY6" s="10" t="s">
        <v>8</v>
      </c>
      <c r="BZ6" s="10" t="s">
        <v>9</v>
      </c>
      <c r="CA6" s="10" t="s">
        <v>10</v>
      </c>
      <c r="CB6" s="10" t="s">
        <v>11</v>
      </c>
      <c r="CC6" s="17" t="s">
        <v>4</v>
      </c>
      <c r="CD6" s="10" t="s">
        <v>8</v>
      </c>
      <c r="CE6" s="10" t="s">
        <v>9</v>
      </c>
      <c r="CF6" s="10" t="s">
        <v>10</v>
      </c>
      <c r="CG6" s="10" t="s">
        <v>11</v>
      </c>
      <c r="CH6" s="17" t="s">
        <v>4</v>
      </c>
      <c r="CI6" s="10" t="s">
        <v>8</v>
      </c>
      <c r="CJ6" s="10" t="s">
        <v>9</v>
      </c>
      <c r="CK6" s="10" t="s">
        <v>10</v>
      </c>
      <c r="CL6" s="10" t="s">
        <v>11</v>
      </c>
      <c r="CM6" s="17" t="s">
        <v>4</v>
      </c>
      <c r="CN6" s="10" t="s">
        <v>8</v>
      </c>
      <c r="CO6" s="10" t="s">
        <v>9</v>
      </c>
      <c r="CP6" s="10" t="s">
        <v>10</v>
      </c>
      <c r="CQ6" s="10" t="s">
        <v>11</v>
      </c>
      <c r="CR6" s="17" t="s">
        <v>4</v>
      </c>
      <c r="CS6" s="10" t="s">
        <v>8</v>
      </c>
      <c r="CT6" s="10" t="s">
        <v>9</v>
      </c>
      <c r="CU6" s="10" t="s">
        <v>10</v>
      </c>
      <c r="CV6" s="10" t="s">
        <v>11</v>
      </c>
      <c r="CW6" s="17" t="s">
        <v>4</v>
      </c>
      <c r="CX6" s="10" t="s">
        <v>8</v>
      </c>
      <c r="CY6" s="10" t="s">
        <v>9</v>
      </c>
      <c r="CZ6" s="10" t="s">
        <v>10</v>
      </c>
      <c r="DA6" s="10" t="s">
        <v>11</v>
      </c>
      <c r="DB6" s="17" t="s">
        <v>4</v>
      </c>
      <c r="DC6" s="10" t="s">
        <v>8</v>
      </c>
      <c r="DD6" s="10" t="s">
        <v>9</v>
      </c>
      <c r="DE6" s="10" t="s">
        <v>10</v>
      </c>
      <c r="DF6" s="10" t="s">
        <v>11</v>
      </c>
      <c r="DG6" s="17" t="s">
        <v>4</v>
      </c>
      <c r="DH6" s="10" t="s">
        <v>8</v>
      </c>
      <c r="DI6" s="10" t="s">
        <v>9</v>
      </c>
      <c r="DJ6" s="10" t="s">
        <v>10</v>
      </c>
      <c r="DK6" s="10" t="s">
        <v>11</v>
      </c>
      <c r="DL6" s="17" t="s">
        <v>4</v>
      </c>
      <c r="DM6" s="10" t="s">
        <v>8</v>
      </c>
      <c r="DN6" s="10" t="s">
        <v>9</v>
      </c>
      <c r="DO6" s="10" t="s">
        <v>10</v>
      </c>
      <c r="DP6" s="10" t="s">
        <v>11</v>
      </c>
      <c r="DQ6" s="17" t="s">
        <v>4</v>
      </c>
      <c r="DR6" s="10" t="s">
        <v>8</v>
      </c>
      <c r="DS6" s="10" t="s">
        <v>9</v>
      </c>
      <c r="DT6" s="10" t="s">
        <v>10</v>
      </c>
      <c r="DU6" s="10" t="s">
        <v>11</v>
      </c>
      <c r="DV6" s="17" t="s">
        <v>4</v>
      </c>
      <c r="DW6" s="10" t="s">
        <v>8</v>
      </c>
      <c r="DX6" s="10" t="s">
        <v>9</v>
      </c>
      <c r="DY6" s="10" t="s">
        <v>10</v>
      </c>
      <c r="DZ6" s="10" t="s">
        <v>11</v>
      </c>
      <c r="EA6" s="17" t="s">
        <v>4</v>
      </c>
      <c r="EB6" s="10" t="s">
        <v>8</v>
      </c>
      <c r="EC6" s="10" t="s">
        <v>9</v>
      </c>
      <c r="ED6" s="10" t="s">
        <v>10</v>
      </c>
      <c r="EE6" s="10" t="s">
        <v>11</v>
      </c>
      <c r="EF6" s="17" t="s">
        <v>4</v>
      </c>
      <c r="EG6" s="10" t="s">
        <v>8</v>
      </c>
      <c r="EH6" s="10" t="s">
        <v>9</v>
      </c>
      <c r="EI6" s="10" t="s">
        <v>10</v>
      </c>
      <c r="EJ6" s="10" t="s">
        <v>11</v>
      </c>
      <c r="EK6" s="17" t="s">
        <v>4</v>
      </c>
      <c r="EL6" s="10" t="s">
        <v>8</v>
      </c>
      <c r="EM6" s="10" t="s">
        <v>9</v>
      </c>
      <c r="EN6" s="10" t="s">
        <v>10</v>
      </c>
      <c r="EO6" s="10" t="s">
        <v>11</v>
      </c>
      <c r="EP6" s="17" t="s">
        <v>4</v>
      </c>
      <c r="EQ6" s="10" t="s">
        <v>8</v>
      </c>
      <c r="ER6" s="10" t="s">
        <v>9</v>
      </c>
      <c r="ES6" s="10" t="s">
        <v>10</v>
      </c>
      <c r="ET6" s="10" t="s">
        <v>11</v>
      </c>
      <c r="EU6" s="17" t="s">
        <v>4</v>
      </c>
      <c r="EV6" s="10" t="s">
        <v>8</v>
      </c>
      <c r="EW6" s="10" t="s">
        <v>9</v>
      </c>
      <c r="EX6" s="10" t="s">
        <v>10</v>
      </c>
      <c r="EY6" s="10" t="s">
        <v>11</v>
      </c>
      <c r="EZ6" s="17" t="s">
        <v>4</v>
      </c>
      <c r="FA6" s="10" t="s">
        <v>8</v>
      </c>
      <c r="FB6" s="10" t="s">
        <v>9</v>
      </c>
      <c r="FC6" s="10" t="s">
        <v>10</v>
      </c>
      <c r="FD6" s="10" t="s">
        <v>11</v>
      </c>
      <c r="FE6" s="17" t="s">
        <v>4</v>
      </c>
      <c r="FF6" s="10" t="s">
        <v>8</v>
      </c>
      <c r="FG6" s="10" t="s">
        <v>9</v>
      </c>
      <c r="FH6" s="10" t="s">
        <v>10</v>
      </c>
      <c r="FI6" s="10" t="s">
        <v>11</v>
      </c>
      <c r="FJ6" s="17" t="s">
        <v>4</v>
      </c>
      <c r="FK6" s="10" t="s">
        <v>8</v>
      </c>
      <c r="FL6" s="10" t="s">
        <v>9</v>
      </c>
      <c r="FM6" s="10" t="s">
        <v>10</v>
      </c>
      <c r="FN6" s="10" t="s">
        <v>11</v>
      </c>
      <c r="FO6" s="17" t="s">
        <v>4</v>
      </c>
      <c r="FP6" s="10" t="s">
        <v>8</v>
      </c>
      <c r="FQ6" s="10" t="s">
        <v>9</v>
      </c>
      <c r="FR6" s="10" t="s">
        <v>10</v>
      </c>
      <c r="FS6" s="10" t="s">
        <v>11</v>
      </c>
      <c r="FT6" s="17" t="s">
        <v>4</v>
      </c>
      <c r="FU6" s="10" t="s">
        <v>8</v>
      </c>
      <c r="FV6" s="10" t="s">
        <v>9</v>
      </c>
      <c r="FW6" s="10" t="s">
        <v>10</v>
      </c>
      <c r="FX6" s="10" t="s">
        <v>11</v>
      </c>
      <c r="FY6" s="17" t="s">
        <v>4</v>
      </c>
      <c r="FZ6" s="12" t="s">
        <v>1</v>
      </c>
      <c r="GA6" s="10" t="s">
        <v>2</v>
      </c>
      <c r="GB6" s="10" t="s">
        <v>3</v>
      </c>
      <c r="GC6" s="10" t="s">
        <v>12</v>
      </c>
      <c r="GD6" s="10" t="s">
        <v>5</v>
      </c>
    </row>
    <row r="7" spans="1:186" x14ac:dyDescent="0.45">
      <c r="A7" s="9" t="s">
        <v>20</v>
      </c>
      <c r="B7" s="3">
        <v>164</v>
      </c>
      <c r="C7" s="1">
        <v>0</v>
      </c>
      <c r="D7" s="1">
        <v>23</v>
      </c>
      <c r="E7" s="1">
        <v>58</v>
      </c>
      <c r="F7" s="1">
        <v>245</v>
      </c>
      <c r="G7" s="1">
        <v>262</v>
      </c>
      <c r="H7" s="1">
        <v>0</v>
      </c>
      <c r="I7" s="1">
        <v>2</v>
      </c>
      <c r="J7" s="1">
        <v>0</v>
      </c>
      <c r="K7" s="1">
        <v>264</v>
      </c>
      <c r="L7" s="1">
        <v>142</v>
      </c>
      <c r="M7" s="1">
        <v>7</v>
      </c>
      <c r="N7" s="1">
        <v>0</v>
      </c>
      <c r="O7" s="1">
        <v>0</v>
      </c>
      <c r="P7" s="1">
        <v>149</v>
      </c>
      <c r="Q7" s="1">
        <v>3</v>
      </c>
      <c r="R7" s="1">
        <v>0</v>
      </c>
      <c r="S7" s="1">
        <v>0</v>
      </c>
      <c r="T7" s="1">
        <v>9</v>
      </c>
      <c r="U7" s="1">
        <v>12</v>
      </c>
      <c r="V7" s="1">
        <v>32</v>
      </c>
      <c r="W7" s="1">
        <v>0</v>
      </c>
      <c r="X7" s="1">
        <v>0</v>
      </c>
      <c r="Y7" s="1">
        <v>0</v>
      </c>
      <c r="Z7" s="1">
        <v>32</v>
      </c>
      <c r="AA7" s="1">
        <v>3</v>
      </c>
      <c r="AB7" s="1">
        <v>3</v>
      </c>
      <c r="AC7" s="1">
        <v>0</v>
      </c>
      <c r="AD7" s="1">
        <v>0</v>
      </c>
      <c r="AE7" s="1">
        <v>6</v>
      </c>
      <c r="AF7" s="1">
        <v>0</v>
      </c>
      <c r="AG7" s="1">
        <v>0</v>
      </c>
      <c r="AH7" s="1">
        <v>0</v>
      </c>
      <c r="AI7" s="1">
        <v>5</v>
      </c>
      <c r="AJ7" s="1">
        <v>5</v>
      </c>
      <c r="AK7" s="1">
        <v>2</v>
      </c>
      <c r="AL7" s="1">
        <v>0</v>
      </c>
      <c r="AM7" s="1">
        <v>0</v>
      </c>
      <c r="AN7" s="1">
        <v>0</v>
      </c>
      <c r="AO7" s="1">
        <v>2</v>
      </c>
      <c r="AP7" s="1">
        <v>2</v>
      </c>
      <c r="AQ7" s="1">
        <v>3</v>
      </c>
      <c r="AR7" s="1">
        <v>0</v>
      </c>
      <c r="AS7" s="1">
        <v>0</v>
      </c>
      <c r="AT7" s="1">
        <v>5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112</v>
      </c>
      <c r="BK7" s="1">
        <v>0</v>
      </c>
      <c r="BL7" s="1">
        <v>25</v>
      </c>
      <c r="BM7" s="1">
        <v>31</v>
      </c>
      <c r="BN7" s="1">
        <v>168</v>
      </c>
      <c r="BO7" s="1">
        <v>198</v>
      </c>
      <c r="BP7" s="1">
        <v>0</v>
      </c>
      <c r="BQ7" s="1">
        <v>12</v>
      </c>
      <c r="BR7" s="1">
        <v>0</v>
      </c>
      <c r="BS7" s="1">
        <v>210</v>
      </c>
      <c r="BT7" s="1">
        <v>108</v>
      </c>
      <c r="BU7" s="1">
        <v>34</v>
      </c>
      <c r="BV7" s="1">
        <v>0</v>
      </c>
      <c r="BW7" s="1">
        <v>0</v>
      </c>
      <c r="BX7" s="1">
        <v>142</v>
      </c>
      <c r="BY7" s="1">
        <v>0</v>
      </c>
      <c r="BZ7" s="1">
        <v>0</v>
      </c>
      <c r="CA7" s="1">
        <v>2</v>
      </c>
      <c r="CB7" s="1">
        <v>1</v>
      </c>
      <c r="CC7" s="1">
        <v>3</v>
      </c>
      <c r="CD7" s="1">
        <v>11</v>
      </c>
      <c r="CE7" s="1">
        <v>0</v>
      </c>
      <c r="CF7" s="1">
        <v>0</v>
      </c>
      <c r="CG7" s="1">
        <v>0</v>
      </c>
      <c r="CH7" s="1">
        <v>11</v>
      </c>
      <c r="CI7" s="1">
        <v>1</v>
      </c>
      <c r="CJ7" s="1">
        <v>0</v>
      </c>
      <c r="CK7" s="1">
        <v>0</v>
      </c>
      <c r="CL7" s="1">
        <v>0</v>
      </c>
      <c r="CM7" s="1">
        <v>1</v>
      </c>
      <c r="CN7" s="1">
        <v>0</v>
      </c>
      <c r="CO7" s="1">
        <v>0</v>
      </c>
      <c r="CP7" s="1">
        <v>3</v>
      </c>
      <c r="CQ7" s="1">
        <v>1</v>
      </c>
      <c r="CR7" s="1">
        <v>4</v>
      </c>
      <c r="CS7" s="1">
        <v>2</v>
      </c>
      <c r="CT7" s="1">
        <v>0</v>
      </c>
      <c r="CU7" s="1">
        <v>0</v>
      </c>
      <c r="CV7" s="1">
        <v>0</v>
      </c>
      <c r="CW7" s="1">
        <v>2</v>
      </c>
      <c r="CX7" s="1">
        <v>9</v>
      </c>
      <c r="CY7" s="1">
        <v>0</v>
      </c>
      <c r="CZ7" s="1">
        <v>0</v>
      </c>
      <c r="DA7" s="1">
        <v>0</v>
      </c>
      <c r="DB7" s="1">
        <v>9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2</v>
      </c>
      <c r="DY7" s="1">
        <v>0</v>
      </c>
      <c r="DZ7" s="1">
        <v>0</v>
      </c>
      <c r="EA7" s="1">
        <v>2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6</v>
      </c>
      <c r="FG7" s="1">
        <v>0</v>
      </c>
      <c r="FH7" s="1">
        <v>17</v>
      </c>
      <c r="FI7" s="1">
        <v>0</v>
      </c>
      <c r="FJ7" s="1">
        <v>23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4">
        <f>SUM(F7,K7,P7,BN7,BS7,BX7,DV7,EA7,FJ7)</f>
        <v>1203</v>
      </c>
      <c r="GA7" s="4">
        <f>SUM(U7,Z7,AE7,CC7,CH7,CM7,EF7,EK7,FO7)</f>
        <v>65</v>
      </c>
      <c r="GB7" s="4">
        <f>SUM(AJ7,AO7,AT7,CR7,CW7,DB7,EP7,EU7,FT7)</f>
        <v>27</v>
      </c>
      <c r="GC7" s="4">
        <f>SUM(AY7,BD7,BI7,DG7,DL7,DQ7,EZ7,FE7,FY7)</f>
        <v>0</v>
      </c>
      <c r="GD7" s="4">
        <f>SUM(FZ7,GA7,GB7,GC7)</f>
        <v>1295</v>
      </c>
    </row>
    <row r="8" spans="1:186" ht="14.65" thickBot="1" x14ac:dyDescent="0.5">
      <c r="A8" s="2" t="s">
        <v>21</v>
      </c>
      <c r="B8" s="8">
        <v>171</v>
      </c>
      <c r="C8" s="8">
        <v>0</v>
      </c>
      <c r="D8" s="8">
        <v>19</v>
      </c>
      <c r="E8" s="8">
        <v>41</v>
      </c>
      <c r="F8" s="8">
        <v>231</v>
      </c>
      <c r="G8" s="8">
        <v>245</v>
      </c>
      <c r="H8" s="8">
        <v>0</v>
      </c>
      <c r="I8" s="8">
        <v>2</v>
      </c>
      <c r="J8" s="8">
        <v>0</v>
      </c>
      <c r="K8" s="8">
        <v>247</v>
      </c>
      <c r="L8" s="8">
        <v>134</v>
      </c>
      <c r="M8" s="8">
        <v>3</v>
      </c>
      <c r="N8" s="8">
        <v>0</v>
      </c>
      <c r="O8" s="8">
        <v>0</v>
      </c>
      <c r="P8" s="8">
        <v>137</v>
      </c>
      <c r="Q8" s="8">
        <v>1</v>
      </c>
      <c r="R8" s="8">
        <v>0</v>
      </c>
      <c r="S8" s="8">
        <v>0</v>
      </c>
      <c r="T8" s="8">
        <v>4</v>
      </c>
      <c r="U8" s="8">
        <v>5</v>
      </c>
      <c r="V8" s="8">
        <v>18</v>
      </c>
      <c r="W8" s="8">
        <v>0</v>
      </c>
      <c r="X8" s="8">
        <v>0</v>
      </c>
      <c r="Y8" s="8">
        <v>0</v>
      </c>
      <c r="Z8" s="8">
        <v>18</v>
      </c>
      <c r="AA8" s="8">
        <v>2</v>
      </c>
      <c r="AB8" s="8">
        <v>4</v>
      </c>
      <c r="AC8" s="8">
        <v>0</v>
      </c>
      <c r="AD8" s="8">
        <v>0</v>
      </c>
      <c r="AE8" s="8">
        <v>6</v>
      </c>
      <c r="AF8" s="8">
        <v>0</v>
      </c>
      <c r="AG8" s="8">
        <v>0</v>
      </c>
      <c r="AH8" s="8">
        <v>0</v>
      </c>
      <c r="AI8" s="8">
        <v>2</v>
      </c>
      <c r="AJ8" s="8">
        <v>2</v>
      </c>
      <c r="AK8" s="8">
        <v>1</v>
      </c>
      <c r="AL8" s="8">
        <v>0</v>
      </c>
      <c r="AM8" s="8">
        <v>0</v>
      </c>
      <c r="AN8" s="8">
        <v>0</v>
      </c>
      <c r="AO8" s="8">
        <v>1</v>
      </c>
      <c r="AP8" s="8">
        <v>4</v>
      </c>
      <c r="AQ8" s="8">
        <v>1</v>
      </c>
      <c r="AR8" s="8">
        <v>0</v>
      </c>
      <c r="AS8" s="8">
        <v>0</v>
      </c>
      <c r="AT8" s="8">
        <v>5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135</v>
      </c>
      <c r="BK8" s="8">
        <v>0</v>
      </c>
      <c r="BL8" s="8">
        <v>47</v>
      </c>
      <c r="BM8" s="8">
        <v>24</v>
      </c>
      <c r="BN8" s="8">
        <v>206</v>
      </c>
      <c r="BO8" s="8">
        <v>182</v>
      </c>
      <c r="BP8" s="8">
        <v>0</v>
      </c>
      <c r="BQ8" s="8">
        <v>2</v>
      </c>
      <c r="BR8" s="8">
        <v>0</v>
      </c>
      <c r="BS8" s="8">
        <v>184</v>
      </c>
      <c r="BT8" s="8">
        <v>61</v>
      </c>
      <c r="BU8" s="8">
        <v>42</v>
      </c>
      <c r="BV8" s="8">
        <v>0</v>
      </c>
      <c r="BW8" s="8">
        <v>0</v>
      </c>
      <c r="BX8" s="8">
        <v>103</v>
      </c>
      <c r="BY8" s="8">
        <v>1</v>
      </c>
      <c r="BZ8" s="8">
        <v>0</v>
      </c>
      <c r="CA8" s="8">
        <v>3</v>
      </c>
      <c r="CB8" s="8">
        <v>3</v>
      </c>
      <c r="CC8" s="8">
        <v>7</v>
      </c>
      <c r="CD8" s="8">
        <v>7</v>
      </c>
      <c r="CE8" s="8">
        <v>0</v>
      </c>
      <c r="CF8" s="8">
        <v>0</v>
      </c>
      <c r="CG8" s="8">
        <v>0</v>
      </c>
      <c r="CH8" s="8">
        <v>7</v>
      </c>
      <c r="CI8" s="8">
        <v>2</v>
      </c>
      <c r="CJ8" s="8">
        <v>2</v>
      </c>
      <c r="CK8" s="8">
        <v>0</v>
      </c>
      <c r="CL8" s="8">
        <v>0</v>
      </c>
      <c r="CM8" s="8">
        <v>4</v>
      </c>
      <c r="CN8" s="8">
        <v>0</v>
      </c>
      <c r="CO8" s="8">
        <v>0</v>
      </c>
      <c r="CP8" s="8">
        <v>4</v>
      </c>
      <c r="CQ8" s="8">
        <v>1</v>
      </c>
      <c r="CR8" s="8">
        <v>5</v>
      </c>
      <c r="CS8" s="8">
        <v>2</v>
      </c>
      <c r="CT8" s="8">
        <v>0</v>
      </c>
      <c r="CU8" s="8">
        <v>0</v>
      </c>
      <c r="CV8" s="8">
        <v>0</v>
      </c>
      <c r="CW8" s="8">
        <v>2</v>
      </c>
      <c r="CX8" s="8">
        <v>5</v>
      </c>
      <c r="CY8" s="8">
        <v>0</v>
      </c>
      <c r="CZ8" s="8">
        <v>0</v>
      </c>
      <c r="DA8" s="8">
        <v>0</v>
      </c>
      <c r="DB8" s="8">
        <v>5</v>
      </c>
      <c r="DC8" s="8">
        <v>0</v>
      </c>
      <c r="DD8" s="8">
        <v>0</v>
      </c>
      <c r="DE8" s="8">
        <v>0</v>
      </c>
      <c r="DF8" s="8">
        <v>0</v>
      </c>
      <c r="DG8" s="8">
        <v>0</v>
      </c>
      <c r="DH8" s="8">
        <v>0</v>
      </c>
      <c r="DI8" s="8">
        <v>0</v>
      </c>
      <c r="DJ8" s="8">
        <v>0</v>
      </c>
      <c r="DK8" s="8">
        <v>0</v>
      </c>
      <c r="DL8" s="8">
        <v>0</v>
      </c>
      <c r="DM8" s="8">
        <v>0</v>
      </c>
      <c r="DN8" s="8">
        <v>0</v>
      </c>
      <c r="DO8" s="8">
        <v>0</v>
      </c>
      <c r="DP8" s="8">
        <v>0</v>
      </c>
      <c r="DQ8" s="8">
        <v>0</v>
      </c>
      <c r="DR8" s="8">
        <v>2</v>
      </c>
      <c r="DS8" s="8">
        <v>0</v>
      </c>
      <c r="DT8" s="8">
        <v>5</v>
      </c>
      <c r="DU8" s="8">
        <v>0</v>
      </c>
      <c r="DV8" s="8">
        <v>7</v>
      </c>
      <c r="DW8" s="8">
        <v>5</v>
      </c>
      <c r="DX8" s="8">
        <v>8</v>
      </c>
      <c r="DY8" s="8">
        <v>0</v>
      </c>
      <c r="DZ8" s="8">
        <v>0</v>
      </c>
      <c r="EA8" s="8">
        <v>13</v>
      </c>
      <c r="EB8" s="8">
        <v>0</v>
      </c>
      <c r="EC8" s="8">
        <v>0</v>
      </c>
      <c r="ED8" s="8">
        <v>2</v>
      </c>
      <c r="EE8" s="8">
        <v>0</v>
      </c>
      <c r="EF8" s="8">
        <v>2</v>
      </c>
      <c r="EG8" s="8">
        <v>0</v>
      </c>
      <c r="EH8" s="8">
        <v>0</v>
      </c>
      <c r="EI8" s="8">
        <v>0</v>
      </c>
      <c r="EJ8" s="8">
        <v>0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7</v>
      </c>
      <c r="FG8" s="8">
        <v>0</v>
      </c>
      <c r="FH8" s="8">
        <v>10</v>
      </c>
      <c r="FI8" s="8">
        <v>0</v>
      </c>
      <c r="FJ8" s="8">
        <v>17</v>
      </c>
      <c r="FK8" s="8">
        <v>0</v>
      </c>
      <c r="FL8" s="8">
        <v>0</v>
      </c>
      <c r="FM8" s="8">
        <v>0</v>
      </c>
      <c r="FN8" s="8">
        <v>0</v>
      </c>
      <c r="FO8" s="8">
        <v>0</v>
      </c>
      <c r="FP8" s="8">
        <v>0</v>
      </c>
      <c r="FQ8" s="8">
        <v>0</v>
      </c>
      <c r="FR8" s="8">
        <v>0</v>
      </c>
      <c r="FS8" s="8">
        <v>0</v>
      </c>
      <c r="FT8" s="8">
        <v>0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4">
        <f>SUM(F8,K8,P8,BN8,BS8,BX8,DV8,EA8,FJ8)</f>
        <v>1145</v>
      </c>
      <c r="GA8" s="4">
        <f t="shared" ref="GA8:GA11" si="0">SUM(U8,Z8,AE8,CC8,CH8,CM8,EF8,EK8,FO8)</f>
        <v>49</v>
      </c>
      <c r="GB8" s="4">
        <f t="shared" ref="GB8:GB11" si="1">SUM(AJ8,AO8,AT8,CR8,CW8,DB8,EP8,EU8,FT8)</f>
        <v>20</v>
      </c>
      <c r="GC8" s="4">
        <f t="shared" ref="GC8:GC11" si="2">SUM(AY8,BD8,BI8,DG8,DL8,DQ8,EZ8,FE8,FY8)</f>
        <v>0</v>
      </c>
      <c r="GD8" s="4">
        <f t="shared" ref="GD8:GD10" si="3">SUM(FZ8,GA8,GB8,GC8)</f>
        <v>1214</v>
      </c>
    </row>
    <row r="9" spans="1:186" ht="14.65" thickBot="1" x14ac:dyDescent="0.5">
      <c r="A9" s="2" t="s">
        <v>22</v>
      </c>
      <c r="B9" s="16">
        <v>156</v>
      </c>
      <c r="C9" s="15">
        <v>0</v>
      </c>
      <c r="D9" s="15">
        <v>31</v>
      </c>
      <c r="E9" s="14">
        <v>62</v>
      </c>
      <c r="F9" s="14">
        <v>249</v>
      </c>
      <c r="G9" s="14">
        <v>218</v>
      </c>
      <c r="H9" s="14">
        <v>0</v>
      </c>
      <c r="I9" s="14">
        <v>2</v>
      </c>
      <c r="J9" s="14">
        <v>0</v>
      </c>
      <c r="K9" s="14">
        <v>220</v>
      </c>
      <c r="L9" s="14">
        <v>146</v>
      </c>
      <c r="M9" s="14">
        <v>16</v>
      </c>
      <c r="N9" s="14">
        <v>0</v>
      </c>
      <c r="O9" s="14">
        <v>0</v>
      </c>
      <c r="P9" s="14">
        <v>162</v>
      </c>
      <c r="Q9" s="14">
        <v>7</v>
      </c>
      <c r="R9" s="14">
        <v>0</v>
      </c>
      <c r="S9" s="14">
        <v>0</v>
      </c>
      <c r="T9" s="14">
        <v>12</v>
      </c>
      <c r="U9" s="14">
        <v>19</v>
      </c>
      <c r="V9" s="14">
        <v>7</v>
      </c>
      <c r="W9" s="14">
        <v>0</v>
      </c>
      <c r="X9" s="14">
        <v>0</v>
      </c>
      <c r="Y9" s="14">
        <v>0</v>
      </c>
      <c r="Z9" s="14">
        <v>7</v>
      </c>
      <c r="AA9" s="14">
        <v>4</v>
      </c>
      <c r="AB9" s="14">
        <v>9</v>
      </c>
      <c r="AC9" s="14">
        <v>0</v>
      </c>
      <c r="AD9" s="14">
        <v>0</v>
      </c>
      <c r="AE9" s="14">
        <v>13</v>
      </c>
      <c r="AF9" s="14">
        <v>0</v>
      </c>
      <c r="AG9" s="14">
        <v>0</v>
      </c>
      <c r="AH9" s="14">
        <v>1</v>
      </c>
      <c r="AI9" s="14">
        <v>7</v>
      </c>
      <c r="AJ9" s="14">
        <v>8</v>
      </c>
      <c r="AK9" s="14">
        <v>1</v>
      </c>
      <c r="AL9" s="14">
        <v>0</v>
      </c>
      <c r="AM9" s="14">
        <v>0</v>
      </c>
      <c r="AN9" s="14">
        <v>0</v>
      </c>
      <c r="AO9" s="14">
        <v>1</v>
      </c>
      <c r="AP9" s="14">
        <v>0</v>
      </c>
      <c r="AQ9" s="14">
        <v>3</v>
      </c>
      <c r="AR9" s="14">
        <v>0</v>
      </c>
      <c r="AS9" s="14">
        <v>0</v>
      </c>
      <c r="AT9" s="14">
        <v>3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126</v>
      </c>
      <c r="BK9" s="14">
        <v>0</v>
      </c>
      <c r="BL9" s="14">
        <v>25</v>
      </c>
      <c r="BM9" s="14">
        <v>19</v>
      </c>
      <c r="BN9" s="14">
        <v>170</v>
      </c>
      <c r="BO9" s="14">
        <v>193</v>
      </c>
      <c r="BP9" s="14">
        <v>0</v>
      </c>
      <c r="BQ9" s="14">
        <v>8</v>
      </c>
      <c r="BR9" s="14">
        <v>0</v>
      </c>
      <c r="BS9" s="14">
        <v>201</v>
      </c>
      <c r="BT9" s="14">
        <v>97</v>
      </c>
      <c r="BU9" s="14">
        <v>29</v>
      </c>
      <c r="BV9" s="14">
        <v>0</v>
      </c>
      <c r="BW9" s="14">
        <v>0</v>
      </c>
      <c r="BX9" s="14">
        <v>126</v>
      </c>
      <c r="BY9" s="14">
        <v>0</v>
      </c>
      <c r="BZ9" s="14">
        <v>0</v>
      </c>
      <c r="CA9" s="14">
        <v>1</v>
      </c>
      <c r="CB9" s="14">
        <v>1</v>
      </c>
      <c r="CC9" s="14">
        <v>2</v>
      </c>
      <c r="CD9" s="14">
        <v>12</v>
      </c>
      <c r="CE9" s="14">
        <v>0</v>
      </c>
      <c r="CF9" s="14">
        <v>0</v>
      </c>
      <c r="CG9" s="14">
        <v>0</v>
      </c>
      <c r="CH9" s="14">
        <v>12</v>
      </c>
      <c r="CI9" s="14">
        <v>9</v>
      </c>
      <c r="CJ9" s="14">
        <v>5</v>
      </c>
      <c r="CK9" s="14">
        <v>0</v>
      </c>
      <c r="CL9" s="14">
        <v>0</v>
      </c>
      <c r="CM9" s="14">
        <v>14</v>
      </c>
      <c r="CN9" s="14">
        <v>0</v>
      </c>
      <c r="CO9" s="14">
        <v>0</v>
      </c>
      <c r="CP9" s="14">
        <v>1</v>
      </c>
      <c r="CQ9" s="14">
        <v>1</v>
      </c>
      <c r="CR9" s="14">
        <v>2</v>
      </c>
      <c r="CS9" s="14">
        <v>1</v>
      </c>
      <c r="CT9" s="14">
        <v>0</v>
      </c>
      <c r="CU9" s="14">
        <v>0</v>
      </c>
      <c r="CV9" s="14">
        <v>0</v>
      </c>
      <c r="CW9" s="14">
        <v>1</v>
      </c>
      <c r="CX9" s="14">
        <v>6</v>
      </c>
      <c r="CY9" s="14">
        <v>0</v>
      </c>
      <c r="CZ9" s="14">
        <v>0</v>
      </c>
      <c r="DA9" s="14">
        <v>0</v>
      </c>
      <c r="DB9" s="14">
        <v>6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2</v>
      </c>
      <c r="DS9" s="14">
        <v>0</v>
      </c>
      <c r="DT9" s="14">
        <v>4</v>
      </c>
      <c r="DU9" s="14">
        <v>0</v>
      </c>
      <c r="DV9" s="14">
        <v>6</v>
      </c>
      <c r="DW9" s="14">
        <v>0</v>
      </c>
      <c r="DX9" s="14">
        <v>6</v>
      </c>
      <c r="DY9" s="14">
        <v>0</v>
      </c>
      <c r="DZ9" s="14">
        <v>0</v>
      </c>
      <c r="EA9" s="14">
        <v>6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</v>
      </c>
      <c r="FC9" s="14">
        <v>0</v>
      </c>
      <c r="FD9" s="14">
        <v>0</v>
      </c>
      <c r="FE9" s="14">
        <v>0</v>
      </c>
      <c r="FF9" s="14">
        <v>7</v>
      </c>
      <c r="FG9" s="14">
        <v>0</v>
      </c>
      <c r="FH9" s="14">
        <v>2</v>
      </c>
      <c r="FI9" s="14">
        <v>0</v>
      </c>
      <c r="FJ9" s="14">
        <v>9</v>
      </c>
      <c r="FK9" s="14">
        <v>0</v>
      </c>
      <c r="FL9" s="14">
        <v>0</v>
      </c>
      <c r="FM9" s="14">
        <v>3</v>
      </c>
      <c r="FN9" s="14">
        <v>0</v>
      </c>
      <c r="FO9" s="14">
        <v>3</v>
      </c>
      <c r="FP9" s="14">
        <v>0</v>
      </c>
      <c r="FQ9" s="14">
        <v>0</v>
      </c>
      <c r="FR9" s="14">
        <v>2</v>
      </c>
      <c r="FS9" s="14">
        <v>0</v>
      </c>
      <c r="FT9" s="14">
        <v>2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4">
        <f>SUM(F9,K9,P9,BN9,BS9,BX9,DV9,EA9,FJ9)</f>
        <v>1149</v>
      </c>
      <c r="GA9" s="4">
        <f t="shared" si="0"/>
        <v>70</v>
      </c>
      <c r="GB9" s="4">
        <f t="shared" si="1"/>
        <v>23</v>
      </c>
      <c r="GC9" s="4">
        <f t="shared" si="2"/>
        <v>0</v>
      </c>
      <c r="GD9" s="4">
        <f t="shared" si="3"/>
        <v>1242</v>
      </c>
    </row>
    <row r="10" spans="1:186" ht="14.65" thickBot="1" x14ac:dyDescent="0.5">
      <c r="A10" s="7" t="s">
        <v>7</v>
      </c>
      <c r="B10" s="16">
        <v>169</v>
      </c>
      <c r="C10" s="15">
        <v>0</v>
      </c>
      <c r="D10" s="15">
        <v>21</v>
      </c>
      <c r="E10" s="14">
        <v>38</v>
      </c>
      <c r="F10" s="14">
        <v>228</v>
      </c>
      <c r="G10" s="14">
        <v>233</v>
      </c>
      <c r="H10" s="14">
        <v>0</v>
      </c>
      <c r="I10" s="14">
        <v>1</v>
      </c>
      <c r="J10" s="14">
        <v>0</v>
      </c>
      <c r="K10" s="14">
        <v>234</v>
      </c>
      <c r="L10" s="14">
        <v>143</v>
      </c>
      <c r="M10" s="14">
        <v>10</v>
      </c>
      <c r="N10" s="14">
        <v>0</v>
      </c>
      <c r="O10" s="14">
        <v>0</v>
      </c>
      <c r="P10" s="14">
        <v>153</v>
      </c>
      <c r="Q10" s="14">
        <v>2</v>
      </c>
      <c r="R10" s="14">
        <v>0</v>
      </c>
      <c r="S10" s="14">
        <v>0</v>
      </c>
      <c r="T10" s="14">
        <v>2</v>
      </c>
      <c r="U10" s="14">
        <v>4</v>
      </c>
      <c r="V10" s="14">
        <v>21</v>
      </c>
      <c r="W10" s="14">
        <v>0</v>
      </c>
      <c r="X10" s="14">
        <v>0</v>
      </c>
      <c r="Y10" s="14">
        <v>0</v>
      </c>
      <c r="Z10" s="14">
        <v>21</v>
      </c>
      <c r="AA10" s="14">
        <v>2</v>
      </c>
      <c r="AB10" s="14">
        <v>3</v>
      </c>
      <c r="AC10" s="14">
        <v>0</v>
      </c>
      <c r="AD10" s="14">
        <v>0</v>
      </c>
      <c r="AE10" s="14">
        <v>5</v>
      </c>
      <c r="AF10" s="14">
        <v>0</v>
      </c>
      <c r="AG10" s="14">
        <v>0</v>
      </c>
      <c r="AH10" s="14">
        <v>0</v>
      </c>
      <c r="AI10" s="14">
        <v>2</v>
      </c>
      <c r="AJ10" s="14">
        <v>2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3</v>
      </c>
      <c r="AQ10" s="14">
        <v>4</v>
      </c>
      <c r="AR10" s="14">
        <v>0</v>
      </c>
      <c r="AS10" s="14">
        <v>0</v>
      </c>
      <c r="AT10" s="14">
        <v>7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134</v>
      </c>
      <c r="BK10" s="14">
        <v>0</v>
      </c>
      <c r="BL10" s="14">
        <v>36</v>
      </c>
      <c r="BM10" s="14">
        <v>14</v>
      </c>
      <c r="BN10" s="14">
        <v>184</v>
      </c>
      <c r="BO10" s="14">
        <v>180</v>
      </c>
      <c r="BP10" s="14">
        <v>0</v>
      </c>
      <c r="BQ10" s="14">
        <v>13</v>
      </c>
      <c r="BR10" s="14">
        <v>0</v>
      </c>
      <c r="BS10" s="14">
        <v>193</v>
      </c>
      <c r="BT10" s="14">
        <v>84</v>
      </c>
      <c r="BU10" s="14">
        <v>26</v>
      </c>
      <c r="BV10" s="14">
        <v>0</v>
      </c>
      <c r="BW10" s="14">
        <v>0</v>
      </c>
      <c r="BX10" s="14">
        <v>110</v>
      </c>
      <c r="BY10" s="14">
        <v>3</v>
      </c>
      <c r="BZ10" s="14">
        <v>0</v>
      </c>
      <c r="CA10" s="14">
        <v>2</v>
      </c>
      <c r="CB10" s="14">
        <v>6</v>
      </c>
      <c r="CC10" s="14">
        <v>11</v>
      </c>
      <c r="CD10" s="14">
        <v>9</v>
      </c>
      <c r="CE10" s="14">
        <v>0</v>
      </c>
      <c r="CF10" s="14">
        <v>0</v>
      </c>
      <c r="CG10" s="14">
        <v>0</v>
      </c>
      <c r="CH10" s="14">
        <v>9</v>
      </c>
      <c r="CI10" s="14">
        <v>5</v>
      </c>
      <c r="CJ10" s="14">
        <v>0</v>
      </c>
      <c r="CK10" s="14">
        <v>1</v>
      </c>
      <c r="CL10" s="14">
        <v>0</v>
      </c>
      <c r="CM10" s="14">
        <v>6</v>
      </c>
      <c r="CN10" s="14">
        <v>0</v>
      </c>
      <c r="CO10" s="14">
        <v>0</v>
      </c>
      <c r="CP10" s="14">
        <v>6</v>
      </c>
      <c r="CQ10" s="14">
        <v>3</v>
      </c>
      <c r="CR10" s="14">
        <v>9</v>
      </c>
      <c r="CS10" s="14">
        <v>2</v>
      </c>
      <c r="CT10" s="14">
        <v>0</v>
      </c>
      <c r="CU10" s="14">
        <v>0</v>
      </c>
      <c r="CV10" s="14">
        <v>0</v>
      </c>
      <c r="CW10" s="14">
        <v>2</v>
      </c>
      <c r="CX10" s="14">
        <v>11</v>
      </c>
      <c r="CY10" s="14">
        <v>0</v>
      </c>
      <c r="CZ10" s="14">
        <v>0</v>
      </c>
      <c r="DA10" s="14">
        <v>0</v>
      </c>
      <c r="DB10" s="14">
        <v>11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1</v>
      </c>
      <c r="DS10" s="14">
        <v>0</v>
      </c>
      <c r="DT10" s="14">
        <v>9</v>
      </c>
      <c r="DU10" s="14">
        <v>0</v>
      </c>
      <c r="DV10" s="14">
        <v>10</v>
      </c>
      <c r="DW10" s="14">
        <v>6</v>
      </c>
      <c r="DX10" s="14">
        <v>6</v>
      </c>
      <c r="DY10" s="14">
        <v>0</v>
      </c>
      <c r="DZ10" s="14">
        <v>0</v>
      </c>
      <c r="EA10" s="14">
        <v>12</v>
      </c>
      <c r="EB10" s="14">
        <v>0</v>
      </c>
      <c r="EC10" s="14">
        <v>0</v>
      </c>
      <c r="ED10" s="14">
        <v>1</v>
      </c>
      <c r="EE10" s="14">
        <v>0</v>
      </c>
      <c r="EF10" s="14">
        <v>1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12</v>
      </c>
      <c r="FG10" s="14">
        <v>0</v>
      </c>
      <c r="FH10" s="14">
        <v>8</v>
      </c>
      <c r="FI10" s="14">
        <v>0</v>
      </c>
      <c r="FJ10" s="14">
        <v>20</v>
      </c>
      <c r="FK10" s="14">
        <v>0</v>
      </c>
      <c r="FL10" s="14">
        <v>0</v>
      </c>
      <c r="FM10" s="14">
        <v>1</v>
      </c>
      <c r="FN10" s="14">
        <v>0</v>
      </c>
      <c r="FO10" s="14">
        <v>1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4">
        <f>SUM(F10,K10,P10,BN10,BS10,BX10,DV10,EA10,FJ10)</f>
        <v>1144</v>
      </c>
      <c r="GA10" s="4">
        <f t="shared" si="0"/>
        <v>58</v>
      </c>
      <c r="GB10" s="4">
        <f t="shared" si="1"/>
        <v>31</v>
      </c>
      <c r="GC10" s="4">
        <f t="shared" si="2"/>
        <v>0</v>
      </c>
      <c r="GD10" s="4">
        <f t="shared" si="3"/>
        <v>1233</v>
      </c>
    </row>
    <row r="11" spans="1:186" ht="14.65" thickBot="1" x14ac:dyDescent="0.5">
      <c r="A11" s="5" t="s">
        <v>5</v>
      </c>
      <c r="B11" s="16">
        <f>SUM(B7:B10)</f>
        <v>660</v>
      </c>
      <c r="C11" s="16">
        <f t="shared" ref="C11:BN11" si="4">SUM(C7:C10)</f>
        <v>0</v>
      </c>
      <c r="D11" s="16">
        <f t="shared" si="4"/>
        <v>94</v>
      </c>
      <c r="E11" s="16">
        <f t="shared" si="4"/>
        <v>199</v>
      </c>
      <c r="F11" s="16">
        <f t="shared" si="4"/>
        <v>953</v>
      </c>
      <c r="G11" s="16">
        <f t="shared" si="4"/>
        <v>958</v>
      </c>
      <c r="H11" s="16">
        <f t="shared" si="4"/>
        <v>0</v>
      </c>
      <c r="I11" s="16">
        <f t="shared" si="4"/>
        <v>7</v>
      </c>
      <c r="J11" s="16">
        <f t="shared" si="4"/>
        <v>0</v>
      </c>
      <c r="K11" s="16">
        <f t="shared" si="4"/>
        <v>965</v>
      </c>
      <c r="L11" s="16">
        <f t="shared" si="4"/>
        <v>565</v>
      </c>
      <c r="M11" s="16">
        <f t="shared" si="4"/>
        <v>36</v>
      </c>
      <c r="N11" s="16">
        <f t="shared" si="4"/>
        <v>0</v>
      </c>
      <c r="O11" s="16">
        <f t="shared" si="4"/>
        <v>0</v>
      </c>
      <c r="P11" s="16">
        <f t="shared" si="4"/>
        <v>601</v>
      </c>
      <c r="Q11" s="16">
        <f t="shared" si="4"/>
        <v>13</v>
      </c>
      <c r="R11" s="16">
        <f t="shared" si="4"/>
        <v>0</v>
      </c>
      <c r="S11" s="16">
        <f t="shared" si="4"/>
        <v>0</v>
      </c>
      <c r="T11" s="16">
        <f t="shared" si="4"/>
        <v>27</v>
      </c>
      <c r="U11" s="16">
        <f t="shared" si="4"/>
        <v>40</v>
      </c>
      <c r="V11" s="16">
        <f t="shared" si="4"/>
        <v>78</v>
      </c>
      <c r="W11" s="16">
        <f t="shared" si="4"/>
        <v>0</v>
      </c>
      <c r="X11" s="16">
        <f t="shared" si="4"/>
        <v>0</v>
      </c>
      <c r="Y11" s="16">
        <f t="shared" si="4"/>
        <v>0</v>
      </c>
      <c r="Z11" s="16">
        <f t="shared" si="4"/>
        <v>78</v>
      </c>
      <c r="AA11" s="16">
        <f t="shared" si="4"/>
        <v>11</v>
      </c>
      <c r="AB11" s="16">
        <f t="shared" si="4"/>
        <v>19</v>
      </c>
      <c r="AC11" s="16">
        <f t="shared" si="4"/>
        <v>0</v>
      </c>
      <c r="AD11" s="16">
        <f t="shared" si="4"/>
        <v>0</v>
      </c>
      <c r="AE11" s="16">
        <f t="shared" si="4"/>
        <v>30</v>
      </c>
      <c r="AF11" s="16">
        <f t="shared" si="4"/>
        <v>0</v>
      </c>
      <c r="AG11" s="16">
        <f t="shared" si="4"/>
        <v>0</v>
      </c>
      <c r="AH11" s="16">
        <f t="shared" si="4"/>
        <v>1</v>
      </c>
      <c r="AI11" s="16">
        <f t="shared" si="4"/>
        <v>16</v>
      </c>
      <c r="AJ11" s="16">
        <f t="shared" si="4"/>
        <v>17</v>
      </c>
      <c r="AK11" s="16">
        <f t="shared" si="4"/>
        <v>4</v>
      </c>
      <c r="AL11" s="16">
        <f t="shared" si="4"/>
        <v>0</v>
      </c>
      <c r="AM11" s="16">
        <f t="shared" si="4"/>
        <v>0</v>
      </c>
      <c r="AN11" s="16">
        <f t="shared" si="4"/>
        <v>0</v>
      </c>
      <c r="AO11" s="16">
        <f t="shared" si="4"/>
        <v>4</v>
      </c>
      <c r="AP11" s="16">
        <f t="shared" si="4"/>
        <v>9</v>
      </c>
      <c r="AQ11" s="16">
        <f t="shared" si="4"/>
        <v>11</v>
      </c>
      <c r="AR11" s="16">
        <f t="shared" si="4"/>
        <v>0</v>
      </c>
      <c r="AS11" s="16">
        <f t="shared" si="4"/>
        <v>0</v>
      </c>
      <c r="AT11" s="16">
        <f t="shared" si="4"/>
        <v>20</v>
      </c>
      <c r="AU11" s="16">
        <f t="shared" si="4"/>
        <v>0</v>
      </c>
      <c r="AV11" s="16">
        <f t="shared" si="4"/>
        <v>0</v>
      </c>
      <c r="AW11" s="16">
        <f t="shared" si="4"/>
        <v>0</v>
      </c>
      <c r="AX11" s="16">
        <f t="shared" si="4"/>
        <v>0</v>
      </c>
      <c r="AY11" s="16">
        <f t="shared" si="4"/>
        <v>0</v>
      </c>
      <c r="AZ11" s="16">
        <f t="shared" si="4"/>
        <v>0</v>
      </c>
      <c r="BA11" s="16">
        <f t="shared" si="4"/>
        <v>0</v>
      </c>
      <c r="BB11" s="16">
        <f t="shared" si="4"/>
        <v>0</v>
      </c>
      <c r="BC11" s="16">
        <f t="shared" si="4"/>
        <v>0</v>
      </c>
      <c r="BD11" s="16">
        <f t="shared" si="4"/>
        <v>0</v>
      </c>
      <c r="BE11" s="16">
        <f t="shared" si="4"/>
        <v>0</v>
      </c>
      <c r="BF11" s="16">
        <f t="shared" si="4"/>
        <v>0</v>
      </c>
      <c r="BG11" s="16">
        <f t="shared" si="4"/>
        <v>0</v>
      </c>
      <c r="BH11" s="16">
        <f t="shared" si="4"/>
        <v>0</v>
      </c>
      <c r="BI11" s="16">
        <f t="shared" si="4"/>
        <v>0</v>
      </c>
      <c r="BJ11" s="16">
        <f t="shared" si="4"/>
        <v>507</v>
      </c>
      <c r="BK11" s="16">
        <f t="shared" si="4"/>
        <v>0</v>
      </c>
      <c r="BL11" s="16">
        <f t="shared" si="4"/>
        <v>133</v>
      </c>
      <c r="BM11" s="16">
        <f t="shared" si="4"/>
        <v>88</v>
      </c>
      <c r="BN11" s="16">
        <f t="shared" si="4"/>
        <v>728</v>
      </c>
      <c r="BO11" s="16">
        <f t="shared" ref="BO11:DZ11" si="5">SUM(BO7:BO10)</f>
        <v>753</v>
      </c>
      <c r="BP11" s="16">
        <f t="shared" si="5"/>
        <v>0</v>
      </c>
      <c r="BQ11" s="16">
        <f t="shared" si="5"/>
        <v>35</v>
      </c>
      <c r="BR11" s="16">
        <f t="shared" si="5"/>
        <v>0</v>
      </c>
      <c r="BS11" s="16">
        <f t="shared" si="5"/>
        <v>788</v>
      </c>
      <c r="BT11" s="16">
        <f t="shared" si="5"/>
        <v>350</v>
      </c>
      <c r="BU11" s="16">
        <f t="shared" si="5"/>
        <v>131</v>
      </c>
      <c r="BV11" s="16">
        <f t="shared" si="5"/>
        <v>0</v>
      </c>
      <c r="BW11" s="16">
        <f t="shared" si="5"/>
        <v>0</v>
      </c>
      <c r="BX11" s="16">
        <f t="shared" si="5"/>
        <v>481</v>
      </c>
      <c r="BY11" s="16">
        <f t="shared" si="5"/>
        <v>4</v>
      </c>
      <c r="BZ11" s="16">
        <f t="shared" si="5"/>
        <v>0</v>
      </c>
      <c r="CA11" s="16">
        <f t="shared" si="5"/>
        <v>8</v>
      </c>
      <c r="CB11" s="16">
        <f t="shared" si="5"/>
        <v>11</v>
      </c>
      <c r="CC11" s="16">
        <f t="shared" si="5"/>
        <v>23</v>
      </c>
      <c r="CD11" s="16">
        <f t="shared" si="5"/>
        <v>39</v>
      </c>
      <c r="CE11" s="16">
        <f t="shared" si="5"/>
        <v>0</v>
      </c>
      <c r="CF11" s="16">
        <f t="shared" si="5"/>
        <v>0</v>
      </c>
      <c r="CG11" s="16">
        <f t="shared" si="5"/>
        <v>0</v>
      </c>
      <c r="CH11" s="16">
        <f t="shared" si="5"/>
        <v>39</v>
      </c>
      <c r="CI11" s="16">
        <f t="shared" si="5"/>
        <v>17</v>
      </c>
      <c r="CJ11" s="16">
        <f t="shared" si="5"/>
        <v>7</v>
      </c>
      <c r="CK11" s="16">
        <f t="shared" si="5"/>
        <v>1</v>
      </c>
      <c r="CL11" s="16">
        <f t="shared" si="5"/>
        <v>0</v>
      </c>
      <c r="CM11" s="16">
        <f t="shared" si="5"/>
        <v>25</v>
      </c>
      <c r="CN11" s="16">
        <f t="shared" si="5"/>
        <v>0</v>
      </c>
      <c r="CO11" s="16">
        <f t="shared" si="5"/>
        <v>0</v>
      </c>
      <c r="CP11" s="16">
        <f t="shared" si="5"/>
        <v>14</v>
      </c>
      <c r="CQ11" s="16">
        <f t="shared" si="5"/>
        <v>6</v>
      </c>
      <c r="CR11" s="16">
        <f t="shared" si="5"/>
        <v>20</v>
      </c>
      <c r="CS11" s="16">
        <f t="shared" si="5"/>
        <v>7</v>
      </c>
      <c r="CT11" s="16">
        <f t="shared" si="5"/>
        <v>0</v>
      </c>
      <c r="CU11" s="16">
        <f t="shared" si="5"/>
        <v>0</v>
      </c>
      <c r="CV11" s="16">
        <f t="shared" si="5"/>
        <v>0</v>
      </c>
      <c r="CW11" s="16">
        <f t="shared" si="5"/>
        <v>7</v>
      </c>
      <c r="CX11" s="16">
        <f t="shared" si="5"/>
        <v>31</v>
      </c>
      <c r="CY11" s="16">
        <f t="shared" si="5"/>
        <v>0</v>
      </c>
      <c r="CZ11" s="16">
        <f t="shared" si="5"/>
        <v>0</v>
      </c>
      <c r="DA11" s="16">
        <f t="shared" si="5"/>
        <v>0</v>
      </c>
      <c r="DB11" s="16">
        <f t="shared" si="5"/>
        <v>31</v>
      </c>
      <c r="DC11" s="16">
        <f t="shared" si="5"/>
        <v>0</v>
      </c>
      <c r="DD11" s="16">
        <f t="shared" si="5"/>
        <v>0</v>
      </c>
      <c r="DE11" s="16">
        <f t="shared" si="5"/>
        <v>0</v>
      </c>
      <c r="DF11" s="16">
        <f t="shared" si="5"/>
        <v>0</v>
      </c>
      <c r="DG11" s="16">
        <f t="shared" si="5"/>
        <v>0</v>
      </c>
      <c r="DH11" s="16">
        <f t="shared" si="5"/>
        <v>0</v>
      </c>
      <c r="DI11" s="16">
        <f t="shared" si="5"/>
        <v>0</v>
      </c>
      <c r="DJ11" s="16">
        <f t="shared" si="5"/>
        <v>0</v>
      </c>
      <c r="DK11" s="16">
        <f t="shared" si="5"/>
        <v>0</v>
      </c>
      <c r="DL11" s="16">
        <f t="shared" si="5"/>
        <v>0</v>
      </c>
      <c r="DM11" s="16">
        <f t="shared" si="5"/>
        <v>0</v>
      </c>
      <c r="DN11" s="16">
        <f t="shared" si="5"/>
        <v>0</v>
      </c>
      <c r="DO11" s="16">
        <f t="shared" si="5"/>
        <v>0</v>
      </c>
      <c r="DP11" s="16">
        <f t="shared" si="5"/>
        <v>0</v>
      </c>
      <c r="DQ11" s="16">
        <f t="shared" si="5"/>
        <v>0</v>
      </c>
      <c r="DR11" s="16">
        <f t="shared" si="5"/>
        <v>5</v>
      </c>
      <c r="DS11" s="16">
        <f t="shared" si="5"/>
        <v>0</v>
      </c>
      <c r="DT11" s="16">
        <f t="shared" si="5"/>
        <v>18</v>
      </c>
      <c r="DU11" s="16">
        <f t="shared" si="5"/>
        <v>0</v>
      </c>
      <c r="DV11" s="16">
        <f t="shared" si="5"/>
        <v>23</v>
      </c>
      <c r="DW11" s="16">
        <f t="shared" si="5"/>
        <v>11</v>
      </c>
      <c r="DX11" s="16">
        <f t="shared" si="5"/>
        <v>22</v>
      </c>
      <c r="DY11" s="16">
        <f t="shared" si="5"/>
        <v>0</v>
      </c>
      <c r="DZ11" s="16">
        <f t="shared" si="5"/>
        <v>0</v>
      </c>
      <c r="EA11" s="16">
        <f t="shared" ref="EA11:FY11" si="6">SUM(EA7:EA10)</f>
        <v>33</v>
      </c>
      <c r="EB11" s="16">
        <f t="shared" si="6"/>
        <v>0</v>
      </c>
      <c r="EC11" s="16">
        <f t="shared" si="6"/>
        <v>0</v>
      </c>
      <c r="ED11" s="16">
        <f t="shared" si="6"/>
        <v>3</v>
      </c>
      <c r="EE11" s="16">
        <f t="shared" si="6"/>
        <v>0</v>
      </c>
      <c r="EF11" s="16">
        <f t="shared" si="6"/>
        <v>3</v>
      </c>
      <c r="EG11" s="16">
        <f t="shared" si="6"/>
        <v>0</v>
      </c>
      <c r="EH11" s="16">
        <f t="shared" si="6"/>
        <v>0</v>
      </c>
      <c r="EI11" s="16">
        <f t="shared" si="6"/>
        <v>0</v>
      </c>
      <c r="EJ11" s="16">
        <f t="shared" si="6"/>
        <v>0</v>
      </c>
      <c r="EK11" s="16">
        <f t="shared" si="6"/>
        <v>0</v>
      </c>
      <c r="EL11" s="16">
        <f t="shared" si="6"/>
        <v>0</v>
      </c>
      <c r="EM11" s="16">
        <f t="shared" si="6"/>
        <v>0</v>
      </c>
      <c r="EN11" s="16">
        <f t="shared" si="6"/>
        <v>0</v>
      </c>
      <c r="EO11" s="16">
        <f t="shared" si="6"/>
        <v>0</v>
      </c>
      <c r="EP11" s="16">
        <f t="shared" si="6"/>
        <v>0</v>
      </c>
      <c r="EQ11" s="16">
        <f t="shared" si="6"/>
        <v>0</v>
      </c>
      <c r="ER11" s="16">
        <f t="shared" si="6"/>
        <v>0</v>
      </c>
      <c r="ES11" s="16">
        <f t="shared" si="6"/>
        <v>0</v>
      </c>
      <c r="ET11" s="16">
        <f t="shared" si="6"/>
        <v>0</v>
      </c>
      <c r="EU11" s="16">
        <f t="shared" si="6"/>
        <v>0</v>
      </c>
      <c r="EV11" s="16">
        <f t="shared" si="6"/>
        <v>0</v>
      </c>
      <c r="EW11" s="16">
        <f t="shared" si="6"/>
        <v>0</v>
      </c>
      <c r="EX11" s="16">
        <f t="shared" si="6"/>
        <v>0</v>
      </c>
      <c r="EY11" s="16">
        <f t="shared" si="6"/>
        <v>0</v>
      </c>
      <c r="EZ11" s="16">
        <f t="shared" si="6"/>
        <v>0</v>
      </c>
      <c r="FA11" s="16">
        <f t="shared" si="6"/>
        <v>0</v>
      </c>
      <c r="FB11" s="16">
        <f t="shared" si="6"/>
        <v>0</v>
      </c>
      <c r="FC11" s="16">
        <f t="shared" si="6"/>
        <v>0</v>
      </c>
      <c r="FD11" s="16">
        <f t="shared" si="6"/>
        <v>0</v>
      </c>
      <c r="FE11" s="16">
        <f t="shared" si="6"/>
        <v>0</v>
      </c>
      <c r="FF11" s="16">
        <f t="shared" si="6"/>
        <v>32</v>
      </c>
      <c r="FG11" s="16">
        <f t="shared" si="6"/>
        <v>0</v>
      </c>
      <c r="FH11" s="16">
        <f t="shared" si="6"/>
        <v>37</v>
      </c>
      <c r="FI11" s="16">
        <f t="shared" si="6"/>
        <v>0</v>
      </c>
      <c r="FJ11" s="16">
        <f t="shared" si="6"/>
        <v>69</v>
      </c>
      <c r="FK11" s="16">
        <f t="shared" si="6"/>
        <v>0</v>
      </c>
      <c r="FL11" s="16">
        <f t="shared" si="6"/>
        <v>0</v>
      </c>
      <c r="FM11" s="16">
        <f t="shared" si="6"/>
        <v>4</v>
      </c>
      <c r="FN11" s="16">
        <f t="shared" si="6"/>
        <v>0</v>
      </c>
      <c r="FO11" s="16">
        <f t="shared" si="6"/>
        <v>4</v>
      </c>
      <c r="FP11" s="16">
        <f t="shared" si="6"/>
        <v>0</v>
      </c>
      <c r="FQ11" s="16">
        <f t="shared" si="6"/>
        <v>0</v>
      </c>
      <c r="FR11" s="16">
        <f t="shared" si="6"/>
        <v>2</v>
      </c>
      <c r="FS11" s="16">
        <f t="shared" si="6"/>
        <v>0</v>
      </c>
      <c r="FT11" s="16">
        <f t="shared" si="6"/>
        <v>2</v>
      </c>
      <c r="FU11" s="16">
        <f t="shared" si="6"/>
        <v>0</v>
      </c>
      <c r="FV11" s="16">
        <f t="shared" si="6"/>
        <v>0</v>
      </c>
      <c r="FW11" s="16">
        <f t="shared" si="6"/>
        <v>0</v>
      </c>
      <c r="FX11" s="16">
        <f t="shared" si="6"/>
        <v>0</v>
      </c>
      <c r="FY11" s="16">
        <f t="shared" si="6"/>
        <v>0</v>
      </c>
      <c r="FZ11" s="6">
        <f>SUM(F11,K11,P11,BN11,BS11,BX11,DV11,EA11,FJ11)</f>
        <v>4641</v>
      </c>
      <c r="GA11" s="4">
        <f t="shared" si="0"/>
        <v>242</v>
      </c>
      <c r="GB11" s="4">
        <f t="shared" si="1"/>
        <v>101</v>
      </c>
      <c r="GC11" s="4">
        <f t="shared" si="2"/>
        <v>0</v>
      </c>
      <c r="GD11" s="6">
        <f>SUM(FZ11,GA11,GB11,GC11)</f>
        <v>4984</v>
      </c>
    </row>
    <row r="12" spans="1:186" x14ac:dyDescent="0.45">
      <c r="A12" s="13"/>
      <c r="GC12" t="s">
        <v>28</v>
      </c>
      <c r="GD12" s="19">
        <f>AVERAGE(GD7:GD10)</f>
        <v>1246</v>
      </c>
    </row>
    <row r="15" spans="1:186" ht="14.65" thickBot="1" x14ac:dyDescent="0.5">
      <c r="A15" s="11" t="s">
        <v>26</v>
      </c>
    </row>
    <row r="16" spans="1:186" x14ac:dyDescent="0.45">
      <c r="A16" s="30" t="s">
        <v>0</v>
      </c>
      <c r="B16" s="32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4"/>
      <c r="V16" s="32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4"/>
      <c r="AP16" s="32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5"/>
    </row>
    <row r="17" spans="1:186" x14ac:dyDescent="0.45">
      <c r="A17" s="31"/>
      <c r="B17" s="21" t="s">
        <v>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3"/>
      <c r="BJ17" s="21" t="s">
        <v>18</v>
      </c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3"/>
      <c r="DR17" s="21" t="s">
        <v>25</v>
      </c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1" t="s">
        <v>13</v>
      </c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4" t="s">
        <v>5</v>
      </c>
      <c r="GA17" s="25"/>
      <c r="GB17" s="25"/>
      <c r="GC17" s="25"/>
      <c r="GD17" s="26"/>
    </row>
    <row r="18" spans="1:186" x14ac:dyDescent="0.45">
      <c r="A18" s="31"/>
      <c r="B18" s="21" t="s">
        <v>1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1" t="s">
        <v>17</v>
      </c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3"/>
      <c r="AF18" s="21" t="s">
        <v>3</v>
      </c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1" t="s">
        <v>12</v>
      </c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1" t="s">
        <v>1</v>
      </c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1" t="s">
        <v>17</v>
      </c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3"/>
      <c r="CN18" s="21" t="s">
        <v>3</v>
      </c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1" t="s">
        <v>12</v>
      </c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1" t="s">
        <v>1</v>
      </c>
      <c r="DS18" s="22"/>
      <c r="DT18" s="22"/>
      <c r="DU18" s="22"/>
      <c r="DV18" s="22"/>
      <c r="DW18" s="22"/>
      <c r="DX18" s="22"/>
      <c r="DY18" s="22"/>
      <c r="DZ18" s="22"/>
      <c r="EA18" s="22"/>
      <c r="EB18" s="21" t="s">
        <v>17</v>
      </c>
      <c r="EC18" s="22"/>
      <c r="ED18" s="22"/>
      <c r="EE18" s="22"/>
      <c r="EF18" s="22"/>
      <c r="EG18" s="22"/>
      <c r="EH18" s="22"/>
      <c r="EI18" s="22"/>
      <c r="EJ18" s="22"/>
      <c r="EK18" s="22"/>
      <c r="EL18" s="21" t="s">
        <v>3</v>
      </c>
      <c r="EM18" s="22"/>
      <c r="EN18" s="22"/>
      <c r="EO18" s="22"/>
      <c r="EP18" s="22"/>
      <c r="EQ18" s="22"/>
      <c r="ER18" s="22"/>
      <c r="ES18" s="22"/>
      <c r="ET18" s="22"/>
      <c r="EU18" s="22"/>
      <c r="EV18" s="21" t="s">
        <v>19</v>
      </c>
      <c r="EW18" s="22"/>
      <c r="EX18" s="22"/>
      <c r="EY18" s="22"/>
      <c r="EZ18" s="22"/>
      <c r="FA18" s="22"/>
      <c r="FB18" s="22"/>
      <c r="FC18" s="22"/>
      <c r="FD18" s="22"/>
      <c r="FE18" s="22"/>
      <c r="FF18" s="21" t="s">
        <v>1</v>
      </c>
      <c r="FG18" s="22"/>
      <c r="FH18" s="22"/>
      <c r="FI18" s="22"/>
      <c r="FJ18" s="22"/>
      <c r="FK18" s="21" t="s">
        <v>17</v>
      </c>
      <c r="FL18" s="22"/>
      <c r="FM18" s="22"/>
      <c r="FN18" s="22"/>
      <c r="FO18" s="22"/>
      <c r="FP18" s="21" t="s">
        <v>3</v>
      </c>
      <c r="FQ18" s="22"/>
      <c r="FR18" s="22"/>
      <c r="FS18" s="22"/>
      <c r="FT18" s="22"/>
      <c r="FU18" s="21" t="s">
        <v>19</v>
      </c>
      <c r="FV18" s="22"/>
      <c r="FW18" s="22"/>
      <c r="FX18" s="22"/>
      <c r="FY18" s="22"/>
      <c r="FZ18" s="24"/>
      <c r="GA18" s="25"/>
      <c r="GB18" s="25"/>
      <c r="GC18" s="25"/>
      <c r="GD18" s="26"/>
    </row>
    <row r="19" spans="1:186" x14ac:dyDescent="0.45">
      <c r="A19" s="31"/>
      <c r="B19" s="21" t="s">
        <v>14</v>
      </c>
      <c r="C19" s="22"/>
      <c r="D19" s="22"/>
      <c r="E19" s="22"/>
      <c r="F19" s="22"/>
      <c r="G19" s="22" t="s">
        <v>15</v>
      </c>
      <c r="H19" s="22"/>
      <c r="I19" s="22"/>
      <c r="J19" s="22"/>
      <c r="K19" s="22"/>
      <c r="L19" s="22" t="s">
        <v>16</v>
      </c>
      <c r="M19" s="22"/>
      <c r="N19" s="22"/>
      <c r="O19" s="22"/>
      <c r="P19" s="23"/>
      <c r="Q19" s="21" t="s">
        <v>14</v>
      </c>
      <c r="R19" s="22"/>
      <c r="S19" s="22"/>
      <c r="T19" s="22"/>
      <c r="U19" s="22"/>
      <c r="V19" s="22" t="s">
        <v>15</v>
      </c>
      <c r="W19" s="22"/>
      <c r="X19" s="22"/>
      <c r="Y19" s="22"/>
      <c r="Z19" s="22"/>
      <c r="AA19" s="22" t="s">
        <v>16</v>
      </c>
      <c r="AB19" s="22"/>
      <c r="AC19" s="22"/>
      <c r="AD19" s="22"/>
      <c r="AE19" s="22"/>
      <c r="AF19" s="21" t="s">
        <v>14</v>
      </c>
      <c r="AG19" s="22"/>
      <c r="AH19" s="22"/>
      <c r="AI19" s="22"/>
      <c r="AJ19" s="22"/>
      <c r="AK19" s="22" t="s">
        <v>15</v>
      </c>
      <c r="AL19" s="22"/>
      <c r="AM19" s="22"/>
      <c r="AN19" s="22"/>
      <c r="AO19" s="22"/>
      <c r="AP19" s="22" t="s">
        <v>16</v>
      </c>
      <c r="AQ19" s="22"/>
      <c r="AR19" s="22"/>
      <c r="AS19" s="22"/>
      <c r="AT19" s="22"/>
      <c r="AU19" s="21" t="s">
        <v>14</v>
      </c>
      <c r="AV19" s="22"/>
      <c r="AW19" s="22"/>
      <c r="AX19" s="22"/>
      <c r="AY19" s="22"/>
      <c r="AZ19" s="22" t="s">
        <v>15</v>
      </c>
      <c r="BA19" s="22"/>
      <c r="BB19" s="22"/>
      <c r="BC19" s="22"/>
      <c r="BD19" s="22"/>
      <c r="BE19" s="22" t="s">
        <v>16</v>
      </c>
      <c r="BF19" s="22"/>
      <c r="BG19" s="22"/>
      <c r="BH19" s="22"/>
      <c r="BI19" s="22"/>
      <c r="BJ19" s="21" t="s">
        <v>14</v>
      </c>
      <c r="BK19" s="22"/>
      <c r="BL19" s="22"/>
      <c r="BM19" s="22"/>
      <c r="BN19" s="22"/>
      <c r="BO19" s="22" t="s">
        <v>15</v>
      </c>
      <c r="BP19" s="22"/>
      <c r="BQ19" s="22"/>
      <c r="BR19" s="22"/>
      <c r="BS19" s="22"/>
      <c r="BT19" s="22" t="s">
        <v>16</v>
      </c>
      <c r="BU19" s="22"/>
      <c r="BV19" s="22"/>
      <c r="BW19" s="22"/>
      <c r="BX19" s="23"/>
      <c r="BY19" s="21" t="s">
        <v>14</v>
      </c>
      <c r="BZ19" s="22"/>
      <c r="CA19" s="22"/>
      <c r="CB19" s="22"/>
      <c r="CC19" s="22"/>
      <c r="CD19" s="22" t="s">
        <v>15</v>
      </c>
      <c r="CE19" s="22"/>
      <c r="CF19" s="22"/>
      <c r="CG19" s="22"/>
      <c r="CH19" s="22"/>
      <c r="CI19" s="22" t="s">
        <v>16</v>
      </c>
      <c r="CJ19" s="22"/>
      <c r="CK19" s="22"/>
      <c r="CL19" s="22"/>
      <c r="CM19" s="22"/>
      <c r="CN19" s="21" t="s">
        <v>14</v>
      </c>
      <c r="CO19" s="22"/>
      <c r="CP19" s="22"/>
      <c r="CQ19" s="22"/>
      <c r="CR19" s="22"/>
      <c r="CS19" s="22" t="s">
        <v>15</v>
      </c>
      <c r="CT19" s="22"/>
      <c r="CU19" s="22"/>
      <c r="CV19" s="22"/>
      <c r="CW19" s="22"/>
      <c r="CX19" s="22" t="s">
        <v>16</v>
      </c>
      <c r="CY19" s="22"/>
      <c r="CZ19" s="22"/>
      <c r="DA19" s="22"/>
      <c r="DB19" s="22"/>
      <c r="DC19" s="21" t="s">
        <v>14</v>
      </c>
      <c r="DD19" s="22"/>
      <c r="DE19" s="22"/>
      <c r="DF19" s="22"/>
      <c r="DG19" s="22"/>
      <c r="DH19" s="22" t="s">
        <v>15</v>
      </c>
      <c r="DI19" s="22"/>
      <c r="DJ19" s="22"/>
      <c r="DK19" s="22"/>
      <c r="DL19" s="22"/>
      <c r="DM19" s="22" t="s">
        <v>16</v>
      </c>
      <c r="DN19" s="22"/>
      <c r="DO19" s="22"/>
      <c r="DP19" s="22"/>
      <c r="DQ19" s="22"/>
      <c r="DR19" s="21" t="s">
        <v>14</v>
      </c>
      <c r="DS19" s="22"/>
      <c r="DT19" s="22"/>
      <c r="DU19" s="22"/>
      <c r="DV19" s="22"/>
      <c r="DW19" s="21" t="s">
        <v>15</v>
      </c>
      <c r="DX19" s="22"/>
      <c r="DY19" s="22"/>
      <c r="DZ19" s="22"/>
      <c r="EA19" s="22"/>
      <c r="EB19" s="21" t="s">
        <v>14</v>
      </c>
      <c r="EC19" s="22"/>
      <c r="ED19" s="22"/>
      <c r="EE19" s="22"/>
      <c r="EF19" s="22"/>
      <c r="EG19" s="21" t="s">
        <v>15</v>
      </c>
      <c r="EH19" s="22"/>
      <c r="EI19" s="22"/>
      <c r="EJ19" s="22"/>
      <c r="EK19" s="22"/>
      <c r="EL19" s="21" t="s">
        <v>14</v>
      </c>
      <c r="EM19" s="22"/>
      <c r="EN19" s="22"/>
      <c r="EO19" s="22"/>
      <c r="EP19" s="22"/>
      <c r="EQ19" s="21" t="s">
        <v>15</v>
      </c>
      <c r="ER19" s="22"/>
      <c r="ES19" s="22"/>
      <c r="ET19" s="22"/>
      <c r="EU19" s="22"/>
      <c r="EV19" s="21" t="s">
        <v>14</v>
      </c>
      <c r="EW19" s="22"/>
      <c r="EX19" s="22"/>
      <c r="EY19" s="22"/>
      <c r="EZ19" s="22"/>
      <c r="FA19" s="21" t="s">
        <v>15</v>
      </c>
      <c r="FB19" s="22"/>
      <c r="FC19" s="22"/>
      <c r="FD19" s="22"/>
      <c r="FE19" s="22"/>
      <c r="FF19" s="21" t="s">
        <v>14</v>
      </c>
      <c r="FG19" s="22"/>
      <c r="FH19" s="22"/>
      <c r="FI19" s="22"/>
      <c r="FJ19" s="22"/>
      <c r="FK19" s="21" t="s">
        <v>14</v>
      </c>
      <c r="FL19" s="22"/>
      <c r="FM19" s="22"/>
      <c r="FN19" s="22"/>
      <c r="FO19" s="22"/>
      <c r="FP19" s="21" t="s">
        <v>14</v>
      </c>
      <c r="FQ19" s="22"/>
      <c r="FR19" s="22"/>
      <c r="FS19" s="22"/>
      <c r="FT19" s="22"/>
      <c r="FU19" s="21" t="s">
        <v>14</v>
      </c>
      <c r="FV19" s="22"/>
      <c r="FW19" s="22"/>
      <c r="FX19" s="22"/>
      <c r="FY19" s="22"/>
      <c r="FZ19" s="27"/>
      <c r="GA19" s="28"/>
      <c r="GB19" s="28"/>
      <c r="GC19" s="28"/>
      <c r="GD19" s="29"/>
    </row>
    <row r="20" spans="1:186" x14ac:dyDescent="0.45">
      <c r="B20" s="10" t="s">
        <v>8</v>
      </c>
      <c r="C20" s="10" t="s">
        <v>9</v>
      </c>
      <c r="D20" s="10" t="s">
        <v>10</v>
      </c>
      <c r="E20" s="10" t="s">
        <v>11</v>
      </c>
      <c r="F20" s="17" t="s">
        <v>4</v>
      </c>
      <c r="G20" s="10" t="s">
        <v>8</v>
      </c>
      <c r="H20" s="10" t="s">
        <v>9</v>
      </c>
      <c r="I20" s="10" t="s">
        <v>10</v>
      </c>
      <c r="J20" s="10" t="s">
        <v>11</v>
      </c>
      <c r="K20" s="17" t="s">
        <v>4</v>
      </c>
      <c r="L20" s="10" t="s">
        <v>8</v>
      </c>
      <c r="M20" s="10" t="s">
        <v>9</v>
      </c>
      <c r="N20" s="10" t="s">
        <v>10</v>
      </c>
      <c r="O20" s="10" t="s">
        <v>11</v>
      </c>
      <c r="P20" s="17" t="s">
        <v>4</v>
      </c>
      <c r="Q20" s="10" t="s">
        <v>8</v>
      </c>
      <c r="R20" s="10" t="s">
        <v>9</v>
      </c>
      <c r="S20" s="10" t="s">
        <v>10</v>
      </c>
      <c r="T20" s="10" t="s">
        <v>11</v>
      </c>
      <c r="U20" s="17" t="s">
        <v>4</v>
      </c>
      <c r="V20" s="10" t="s">
        <v>8</v>
      </c>
      <c r="W20" s="10" t="s">
        <v>9</v>
      </c>
      <c r="X20" s="10" t="s">
        <v>10</v>
      </c>
      <c r="Y20" s="10" t="s">
        <v>11</v>
      </c>
      <c r="Z20" s="17" t="s">
        <v>4</v>
      </c>
      <c r="AA20" s="10" t="s">
        <v>8</v>
      </c>
      <c r="AB20" s="10" t="s">
        <v>9</v>
      </c>
      <c r="AC20" s="10" t="s">
        <v>10</v>
      </c>
      <c r="AD20" s="10" t="s">
        <v>11</v>
      </c>
      <c r="AE20" s="17" t="s">
        <v>4</v>
      </c>
      <c r="AF20" s="10" t="s">
        <v>8</v>
      </c>
      <c r="AG20" s="10" t="s">
        <v>9</v>
      </c>
      <c r="AH20" s="10" t="s">
        <v>10</v>
      </c>
      <c r="AI20" s="10" t="s">
        <v>11</v>
      </c>
      <c r="AJ20" s="17" t="s">
        <v>4</v>
      </c>
      <c r="AK20" s="10" t="s">
        <v>8</v>
      </c>
      <c r="AL20" s="10" t="s">
        <v>9</v>
      </c>
      <c r="AM20" s="10" t="s">
        <v>10</v>
      </c>
      <c r="AN20" s="10" t="s">
        <v>11</v>
      </c>
      <c r="AO20" s="17" t="s">
        <v>4</v>
      </c>
      <c r="AP20" s="10" t="s">
        <v>8</v>
      </c>
      <c r="AQ20" s="10" t="s">
        <v>9</v>
      </c>
      <c r="AR20" s="10" t="s">
        <v>10</v>
      </c>
      <c r="AS20" s="10" t="s">
        <v>11</v>
      </c>
      <c r="AT20" s="17" t="s">
        <v>4</v>
      </c>
      <c r="AU20" s="10" t="s">
        <v>8</v>
      </c>
      <c r="AV20" s="10" t="s">
        <v>9</v>
      </c>
      <c r="AW20" s="10" t="s">
        <v>10</v>
      </c>
      <c r="AX20" s="10" t="s">
        <v>11</v>
      </c>
      <c r="AY20" s="17" t="s">
        <v>4</v>
      </c>
      <c r="AZ20" s="10" t="s">
        <v>8</v>
      </c>
      <c r="BA20" s="10" t="s">
        <v>9</v>
      </c>
      <c r="BB20" s="10" t="s">
        <v>10</v>
      </c>
      <c r="BC20" s="10" t="s">
        <v>11</v>
      </c>
      <c r="BD20" s="17" t="s">
        <v>4</v>
      </c>
      <c r="BE20" s="10" t="s">
        <v>8</v>
      </c>
      <c r="BF20" s="10" t="s">
        <v>9</v>
      </c>
      <c r="BG20" s="10" t="s">
        <v>10</v>
      </c>
      <c r="BH20" s="10" t="s">
        <v>11</v>
      </c>
      <c r="BI20" s="17" t="s">
        <v>4</v>
      </c>
      <c r="BJ20" s="10" t="s">
        <v>8</v>
      </c>
      <c r="BK20" s="10" t="s">
        <v>9</v>
      </c>
      <c r="BL20" s="10" t="s">
        <v>10</v>
      </c>
      <c r="BM20" s="10" t="s">
        <v>11</v>
      </c>
      <c r="BN20" s="17" t="s">
        <v>4</v>
      </c>
      <c r="BO20" s="10" t="s">
        <v>8</v>
      </c>
      <c r="BP20" s="10" t="s">
        <v>9</v>
      </c>
      <c r="BQ20" s="10" t="s">
        <v>10</v>
      </c>
      <c r="BR20" s="10" t="s">
        <v>11</v>
      </c>
      <c r="BS20" s="17" t="s">
        <v>4</v>
      </c>
      <c r="BT20" s="10" t="s">
        <v>8</v>
      </c>
      <c r="BU20" s="10" t="s">
        <v>9</v>
      </c>
      <c r="BV20" s="10" t="s">
        <v>10</v>
      </c>
      <c r="BW20" s="10" t="s">
        <v>11</v>
      </c>
      <c r="BX20" s="17" t="s">
        <v>4</v>
      </c>
      <c r="BY20" s="10" t="s">
        <v>8</v>
      </c>
      <c r="BZ20" s="10" t="s">
        <v>9</v>
      </c>
      <c r="CA20" s="10" t="s">
        <v>10</v>
      </c>
      <c r="CB20" s="10" t="s">
        <v>11</v>
      </c>
      <c r="CC20" s="17" t="s">
        <v>4</v>
      </c>
      <c r="CD20" s="10" t="s">
        <v>8</v>
      </c>
      <c r="CE20" s="10" t="s">
        <v>9</v>
      </c>
      <c r="CF20" s="10" t="s">
        <v>10</v>
      </c>
      <c r="CG20" s="10" t="s">
        <v>11</v>
      </c>
      <c r="CH20" s="17" t="s">
        <v>4</v>
      </c>
      <c r="CI20" s="10" t="s">
        <v>8</v>
      </c>
      <c r="CJ20" s="10" t="s">
        <v>9</v>
      </c>
      <c r="CK20" s="10" t="s">
        <v>10</v>
      </c>
      <c r="CL20" s="10" t="s">
        <v>11</v>
      </c>
      <c r="CM20" s="17" t="s">
        <v>4</v>
      </c>
      <c r="CN20" s="10" t="s">
        <v>8</v>
      </c>
      <c r="CO20" s="10" t="s">
        <v>9</v>
      </c>
      <c r="CP20" s="10" t="s">
        <v>10</v>
      </c>
      <c r="CQ20" s="10" t="s">
        <v>11</v>
      </c>
      <c r="CR20" s="17" t="s">
        <v>4</v>
      </c>
      <c r="CS20" s="10" t="s">
        <v>8</v>
      </c>
      <c r="CT20" s="10" t="s">
        <v>9</v>
      </c>
      <c r="CU20" s="10" t="s">
        <v>10</v>
      </c>
      <c r="CV20" s="10" t="s">
        <v>11</v>
      </c>
      <c r="CW20" s="17" t="s">
        <v>4</v>
      </c>
      <c r="CX20" s="10" t="s">
        <v>8</v>
      </c>
      <c r="CY20" s="10" t="s">
        <v>9</v>
      </c>
      <c r="CZ20" s="10" t="s">
        <v>10</v>
      </c>
      <c r="DA20" s="10" t="s">
        <v>11</v>
      </c>
      <c r="DB20" s="17" t="s">
        <v>4</v>
      </c>
      <c r="DC20" s="10" t="s">
        <v>8</v>
      </c>
      <c r="DD20" s="10" t="s">
        <v>9</v>
      </c>
      <c r="DE20" s="10" t="s">
        <v>10</v>
      </c>
      <c r="DF20" s="10" t="s">
        <v>11</v>
      </c>
      <c r="DG20" s="17" t="s">
        <v>4</v>
      </c>
      <c r="DH20" s="10" t="s">
        <v>8</v>
      </c>
      <c r="DI20" s="10" t="s">
        <v>9</v>
      </c>
      <c r="DJ20" s="10" t="s">
        <v>10</v>
      </c>
      <c r="DK20" s="10" t="s">
        <v>11</v>
      </c>
      <c r="DL20" s="17" t="s">
        <v>4</v>
      </c>
      <c r="DM20" s="10" t="s">
        <v>8</v>
      </c>
      <c r="DN20" s="10" t="s">
        <v>9</v>
      </c>
      <c r="DO20" s="10" t="s">
        <v>10</v>
      </c>
      <c r="DP20" s="10" t="s">
        <v>11</v>
      </c>
      <c r="DQ20" s="17" t="s">
        <v>4</v>
      </c>
      <c r="DR20" s="10" t="s">
        <v>8</v>
      </c>
      <c r="DS20" s="10" t="s">
        <v>9</v>
      </c>
      <c r="DT20" s="10" t="s">
        <v>10</v>
      </c>
      <c r="DU20" s="10" t="s">
        <v>11</v>
      </c>
      <c r="DV20" s="17" t="s">
        <v>4</v>
      </c>
      <c r="DW20" s="10" t="s">
        <v>8</v>
      </c>
      <c r="DX20" s="10" t="s">
        <v>9</v>
      </c>
      <c r="DY20" s="10" t="s">
        <v>10</v>
      </c>
      <c r="DZ20" s="10" t="s">
        <v>11</v>
      </c>
      <c r="EA20" s="17" t="s">
        <v>4</v>
      </c>
      <c r="EB20" s="10" t="s">
        <v>8</v>
      </c>
      <c r="EC20" s="10" t="s">
        <v>9</v>
      </c>
      <c r="ED20" s="10" t="s">
        <v>10</v>
      </c>
      <c r="EE20" s="10" t="s">
        <v>11</v>
      </c>
      <c r="EF20" s="17" t="s">
        <v>4</v>
      </c>
      <c r="EG20" s="10" t="s">
        <v>8</v>
      </c>
      <c r="EH20" s="10" t="s">
        <v>9</v>
      </c>
      <c r="EI20" s="10" t="s">
        <v>10</v>
      </c>
      <c r="EJ20" s="10" t="s">
        <v>11</v>
      </c>
      <c r="EK20" s="17" t="s">
        <v>4</v>
      </c>
      <c r="EL20" s="10" t="s">
        <v>8</v>
      </c>
      <c r="EM20" s="10" t="s">
        <v>9</v>
      </c>
      <c r="EN20" s="10" t="s">
        <v>10</v>
      </c>
      <c r="EO20" s="10" t="s">
        <v>11</v>
      </c>
      <c r="EP20" s="17" t="s">
        <v>4</v>
      </c>
      <c r="EQ20" s="10" t="s">
        <v>8</v>
      </c>
      <c r="ER20" s="10" t="s">
        <v>9</v>
      </c>
      <c r="ES20" s="10" t="s">
        <v>10</v>
      </c>
      <c r="ET20" s="10" t="s">
        <v>11</v>
      </c>
      <c r="EU20" s="17" t="s">
        <v>4</v>
      </c>
      <c r="EV20" s="10" t="s">
        <v>8</v>
      </c>
      <c r="EW20" s="10" t="s">
        <v>9</v>
      </c>
      <c r="EX20" s="10" t="s">
        <v>10</v>
      </c>
      <c r="EY20" s="10" t="s">
        <v>11</v>
      </c>
      <c r="EZ20" s="17" t="s">
        <v>4</v>
      </c>
      <c r="FA20" s="10" t="s">
        <v>8</v>
      </c>
      <c r="FB20" s="10" t="s">
        <v>9</v>
      </c>
      <c r="FC20" s="10" t="s">
        <v>10</v>
      </c>
      <c r="FD20" s="10" t="s">
        <v>11</v>
      </c>
      <c r="FE20" s="17" t="s">
        <v>4</v>
      </c>
      <c r="FF20" s="10" t="s">
        <v>8</v>
      </c>
      <c r="FG20" s="10" t="s">
        <v>9</v>
      </c>
      <c r="FH20" s="10" t="s">
        <v>10</v>
      </c>
      <c r="FI20" s="10" t="s">
        <v>11</v>
      </c>
      <c r="FJ20" s="17" t="s">
        <v>4</v>
      </c>
      <c r="FK20" s="10" t="s">
        <v>8</v>
      </c>
      <c r="FL20" s="10" t="s">
        <v>9</v>
      </c>
      <c r="FM20" s="10" t="s">
        <v>10</v>
      </c>
      <c r="FN20" s="10" t="s">
        <v>11</v>
      </c>
      <c r="FO20" s="17" t="s">
        <v>4</v>
      </c>
      <c r="FP20" s="10" t="s">
        <v>8</v>
      </c>
      <c r="FQ20" s="10" t="s">
        <v>9</v>
      </c>
      <c r="FR20" s="10" t="s">
        <v>10</v>
      </c>
      <c r="FS20" s="10" t="s">
        <v>11</v>
      </c>
      <c r="FT20" s="17" t="s">
        <v>4</v>
      </c>
      <c r="FU20" s="10" t="s">
        <v>8</v>
      </c>
      <c r="FV20" s="10" t="s">
        <v>9</v>
      </c>
      <c r="FW20" s="10" t="s">
        <v>10</v>
      </c>
      <c r="FX20" s="10" t="s">
        <v>11</v>
      </c>
      <c r="FY20" s="17" t="s">
        <v>4</v>
      </c>
      <c r="FZ20" s="12" t="s">
        <v>1</v>
      </c>
      <c r="GA20" s="10" t="s">
        <v>2</v>
      </c>
      <c r="GB20" s="10" t="s">
        <v>3</v>
      </c>
      <c r="GC20" s="10" t="s">
        <v>12</v>
      </c>
      <c r="GD20" s="10" t="s">
        <v>5</v>
      </c>
    </row>
    <row r="21" spans="1:186" x14ac:dyDescent="0.45">
      <c r="A21" s="9" t="s">
        <v>20</v>
      </c>
      <c r="B21" s="3">
        <v>182</v>
      </c>
      <c r="C21" s="1">
        <v>0</v>
      </c>
      <c r="D21" s="1">
        <v>24</v>
      </c>
      <c r="E21" s="1">
        <v>33</v>
      </c>
      <c r="F21" s="1">
        <v>239</v>
      </c>
      <c r="G21" s="1">
        <v>244</v>
      </c>
      <c r="H21" s="1">
        <v>0</v>
      </c>
      <c r="I21" s="1">
        <v>0</v>
      </c>
      <c r="J21" s="1">
        <v>0</v>
      </c>
      <c r="K21" s="1">
        <v>244</v>
      </c>
      <c r="L21" s="1">
        <v>152</v>
      </c>
      <c r="M21" s="1">
        <v>3</v>
      </c>
      <c r="N21" s="1">
        <v>0</v>
      </c>
      <c r="O21" s="1">
        <v>0</v>
      </c>
      <c r="P21" s="1">
        <v>155</v>
      </c>
      <c r="Q21" s="1">
        <v>0</v>
      </c>
      <c r="R21" s="1">
        <v>0</v>
      </c>
      <c r="S21" s="1">
        <v>0</v>
      </c>
      <c r="T21" s="1">
        <v>14</v>
      </c>
      <c r="U21" s="1">
        <v>14</v>
      </c>
      <c r="V21" s="1">
        <v>38</v>
      </c>
      <c r="W21" s="1">
        <v>0</v>
      </c>
      <c r="X21" s="1">
        <v>0</v>
      </c>
      <c r="Y21" s="1">
        <v>0</v>
      </c>
      <c r="Z21" s="1">
        <v>38</v>
      </c>
      <c r="AA21" s="1">
        <v>9</v>
      </c>
      <c r="AB21" s="1">
        <v>3</v>
      </c>
      <c r="AC21" s="1">
        <v>0</v>
      </c>
      <c r="AD21" s="1">
        <v>0</v>
      </c>
      <c r="AE21" s="1">
        <v>12</v>
      </c>
      <c r="AF21" s="1">
        <v>0</v>
      </c>
      <c r="AG21" s="1">
        <v>0</v>
      </c>
      <c r="AH21" s="1">
        <v>0</v>
      </c>
      <c r="AI21" s="1">
        <v>2</v>
      </c>
      <c r="AJ21" s="1">
        <v>2</v>
      </c>
      <c r="AK21" s="1">
        <v>1</v>
      </c>
      <c r="AL21" s="1">
        <v>0</v>
      </c>
      <c r="AM21" s="1">
        <v>0</v>
      </c>
      <c r="AN21" s="1">
        <v>0</v>
      </c>
      <c r="AO21" s="1">
        <v>1</v>
      </c>
      <c r="AP21" s="1">
        <v>5</v>
      </c>
      <c r="AQ21" s="1">
        <v>3</v>
      </c>
      <c r="AR21" s="1">
        <v>0</v>
      </c>
      <c r="AS21" s="1">
        <v>0</v>
      </c>
      <c r="AT21" s="1">
        <v>8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72</v>
      </c>
      <c r="BK21" s="1">
        <v>0</v>
      </c>
      <c r="BL21" s="1">
        <v>30</v>
      </c>
      <c r="BM21" s="1">
        <v>41</v>
      </c>
      <c r="BN21" s="1">
        <v>143</v>
      </c>
      <c r="BO21" s="1">
        <v>191</v>
      </c>
      <c r="BP21" s="1">
        <v>0</v>
      </c>
      <c r="BQ21" s="1">
        <v>0</v>
      </c>
      <c r="BR21" s="1">
        <v>0</v>
      </c>
      <c r="BS21" s="1">
        <v>191</v>
      </c>
      <c r="BT21" s="1">
        <v>116</v>
      </c>
      <c r="BU21" s="1">
        <v>12</v>
      </c>
      <c r="BV21" s="1">
        <v>0</v>
      </c>
      <c r="BW21" s="1">
        <v>0</v>
      </c>
      <c r="BX21" s="1">
        <v>128</v>
      </c>
      <c r="BY21" s="1">
        <v>0</v>
      </c>
      <c r="BZ21" s="1">
        <v>0</v>
      </c>
      <c r="CA21" s="1">
        <v>0</v>
      </c>
      <c r="CB21" s="1">
        <v>6</v>
      </c>
      <c r="CC21" s="1">
        <v>6</v>
      </c>
      <c r="CD21" s="1">
        <v>3</v>
      </c>
      <c r="CE21" s="1">
        <v>0</v>
      </c>
      <c r="CF21" s="1">
        <v>0</v>
      </c>
      <c r="CG21" s="1">
        <v>0</v>
      </c>
      <c r="CH21" s="1">
        <v>3</v>
      </c>
      <c r="CI21" s="1">
        <v>10</v>
      </c>
      <c r="CJ21" s="1">
        <v>0</v>
      </c>
      <c r="CK21" s="1">
        <v>0</v>
      </c>
      <c r="CL21" s="1">
        <v>0</v>
      </c>
      <c r="CM21" s="1">
        <v>10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2</v>
      </c>
      <c r="DU21" s="1">
        <v>0</v>
      </c>
      <c r="DV21" s="1">
        <v>2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5</v>
      </c>
      <c r="FI21" s="1">
        <v>0</v>
      </c>
      <c r="FJ21" s="1">
        <v>5</v>
      </c>
      <c r="FK21" s="1">
        <v>0</v>
      </c>
      <c r="FL21" s="1">
        <v>0</v>
      </c>
      <c r="FM21" s="1">
        <v>3</v>
      </c>
      <c r="FN21" s="1">
        <v>0</v>
      </c>
      <c r="FO21" s="1">
        <v>3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4">
        <f>SUM(F237,K21,P21,BN21,BS21,BX21,DV21,EA21,FJ21)</f>
        <v>868</v>
      </c>
      <c r="GA21" s="4">
        <f>SUM(U21,Z21,AE21,CC21,CH21,CM21,EF21,EK21,FO21)</f>
        <v>86</v>
      </c>
      <c r="GB21" s="4">
        <f>SUM(AJ21,AO21,AT21,CR21,CW21,DB21,EP21,EU21,FT21)</f>
        <v>11</v>
      </c>
      <c r="GC21" s="4">
        <f>SUM(AY21,BD21,BI21,DG21,DL21,DQ21,EZ21,FE21,FY21)</f>
        <v>0</v>
      </c>
      <c r="GD21" s="4">
        <f>SUM(FZ21,GA21,GB21:GC21)</f>
        <v>965</v>
      </c>
    </row>
    <row r="22" spans="1:186" ht="14.65" thickBot="1" x14ac:dyDescent="0.5">
      <c r="A22" s="2" t="s">
        <v>21</v>
      </c>
      <c r="B22" s="8">
        <v>197</v>
      </c>
      <c r="C22" s="8">
        <v>0</v>
      </c>
      <c r="D22" s="8">
        <v>21</v>
      </c>
      <c r="E22" s="8">
        <v>42</v>
      </c>
      <c r="F22" s="8">
        <v>260</v>
      </c>
      <c r="G22" s="8">
        <v>248</v>
      </c>
      <c r="H22" s="8">
        <v>0</v>
      </c>
      <c r="I22" s="8">
        <v>0</v>
      </c>
      <c r="J22" s="8">
        <v>0</v>
      </c>
      <c r="K22" s="8">
        <v>248</v>
      </c>
      <c r="L22" s="8">
        <v>123</v>
      </c>
      <c r="M22" s="8">
        <v>8</v>
      </c>
      <c r="N22" s="8">
        <v>0</v>
      </c>
      <c r="O22" s="8">
        <v>0</v>
      </c>
      <c r="P22" s="8">
        <v>131</v>
      </c>
      <c r="Q22" s="8">
        <v>3</v>
      </c>
      <c r="R22" s="8">
        <v>0</v>
      </c>
      <c r="S22" s="8">
        <v>1</v>
      </c>
      <c r="T22" s="8">
        <v>5</v>
      </c>
      <c r="U22" s="8">
        <v>9</v>
      </c>
      <c r="V22" s="8">
        <v>23</v>
      </c>
      <c r="W22" s="8">
        <v>0</v>
      </c>
      <c r="X22" s="8">
        <v>0</v>
      </c>
      <c r="Y22" s="8">
        <v>0</v>
      </c>
      <c r="Z22" s="8">
        <v>23</v>
      </c>
      <c r="AA22" s="8">
        <v>6</v>
      </c>
      <c r="AB22" s="8">
        <v>3</v>
      </c>
      <c r="AC22" s="8">
        <v>0</v>
      </c>
      <c r="AD22" s="8">
        <v>0</v>
      </c>
      <c r="AE22" s="8">
        <v>9</v>
      </c>
      <c r="AF22" s="8">
        <v>0</v>
      </c>
      <c r="AG22" s="8">
        <v>0</v>
      </c>
      <c r="AH22" s="8">
        <v>0</v>
      </c>
      <c r="AI22" s="8">
        <v>2</v>
      </c>
      <c r="AJ22" s="8">
        <v>2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4</v>
      </c>
      <c r="AR22" s="8">
        <v>0</v>
      </c>
      <c r="AS22" s="8">
        <v>0</v>
      </c>
      <c r="AT22" s="8">
        <v>4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105</v>
      </c>
      <c r="BK22" s="8">
        <v>0</v>
      </c>
      <c r="BL22" s="8">
        <v>44</v>
      </c>
      <c r="BM22" s="8">
        <v>39</v>
      </c>
      <c r="BN22" s="8">
        <v>188</v>
      </c>
      <c r="BO22" s="8">
        <v>163</v>
      </c>
      <c r="BP22" s="8">
        <v>0</v>
      </c>
      <c r="BQ22" s="8">
        <v>9</v>
      </c>
      <c r="BR22" s="8">
        <v>0</v>
      </c>
      <c r="BS22" s="8">
        <v>172</v>
      </c>
      <c r="BT22" s="8">
        <v>99</v>
      </c>
      <c r="BU22" s="8">
        <v>18</v>
      </c>
      <c r="BV22" s="8">
        <v>0</v>
      </c>
      <c r="BW22" s="8">
        <v>0</v>
      </c>
      <c r="BX22" s="8">
        <v>117</v>
      </c>
      <c r="BY22" s="8">
        <v>6</v>
      </c>
      <c r="BZ22" s="8">
        <v>0</v>
      </c>
      <c r="CA22" s="8">
        <v>2</v>
      </c>
      <c r="CB22" s="8">
        <v>4</v>
      </c>
      <c r="CC22" s="8">
        <v>12</v>
      </c>
      <c r="CD22" s="8">
        <v>25</v>
      </c>
      <c r="CE22" s="8">
        <v>0</v>
      </c>
      <c r="CF22" s="8">
        <v>2</v>
      </c>
      <c r="CG22" s="8">
        <v>0</v>
      </c>
      <c r="CH22" s="8">
        <v>27</v>
      </c>
      <c r="CI22" s="8">
        <v>14</v>
      </c>
      <c r="CJ22" s="8">
        <v>0</v>
      </c>
      <c r="CK22" s="8">
        <v>0</v>
      </c>
      <c r="CL22" s="8">
        <v>0</v>
      </c>
      <c r="CM22" s="8">
        <v>14</v>
      </c>
      <c r="CN22" s="8">
        <v>0</v>
      </c>
      <c r="CO22" s="8">
        <v>0</v>
      </c>
      <c r="CP22" s="8">
        <v>0</v>
      </c>
      <c r="CQ22" s="8">
        <v>1</v>
      </c>
      <c r="CR22" s="8">
        <v>1</v>
      </c>
      <c r="CS22" s="8">
        <v>1</v>
      </c>
      <c r="CT22" s="8">
        <v>0</v>
      </c>
      <c r="CU22" s="8">
        <v>0</v>
      </c>
      <c r="CV22" s="8">
        <v>0</v>
      </c>
      <c r="CW22" s="8">
        <v>1</v>
      </c>
      <c r="CX22" s="8">
        <v>3</v>
      </c>
      <c r="CY22" s="8">
        <v>0</v>
      </c>
      <c r="CZ22" s="8">
        <v>0</v>
      </c>
      <c r="DA22" s="8">
        <v>0</v>
      </c>
      <c r="DB22" s="8">
        <v>3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8">
        <v>0</v>
      </c>
      <c r="DP22" s="8">
        <v>0</v>
      </c>
      <c r="DQ22" s="8">
        <v>0</v>
      </c>
      <c r="DR22" s="8">
        <v>0</v>
      </c>
      <c r="DS22" s="8">
        <v>0</v>
      </c>
      <c r="DT22" s="8">
        <v>2</v>
      </c>
      <c r="DU22" s="8">
        <v>0</v>
      </c>
      <c r="DV22" s="8">
        <v>2</v>
      </c>
      <c r="DW22" s="8">
        <v>1</v>
      </c>
      <c r="DX22" s="8">
        <v>0</v>
      </c>
      <c r="DY22" s="8">
        <v>0</v>
      </c>
      <c r="DZ22" s="8">
        <v>0</v>
      </c>
      <c r="EA22" s="8">
        <v>1</v>
      </c>
      <c r="EB22" s="8"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1</v>
      </c>
      <c r="EI22" s="8">
        <v>0</v>
      </c>
      <c r="EJ22" s="8">
        <v>0</v>
      </c>
      <c r="EK22" s="8">
        <v>1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3</v>
      </c>
      <c r="FI22" s="8">
        <v>0</v>
      </c>
      <c r="FJ22" s="8">
        <v>3</v>
      </c>
      <c r="FK22" s="8">
        <v>0</v>
      </c>
      <c r="FL22" s="8">
        <v>0</v>
      </c>
      <c r="FM22" s="8">
        <v>2</v>
      </c>
      <c r="FN22" s="8">
        <v>0</v>
      </c>
      <c r="FO22" s="8">
        <v>2</v>
      </c>
      <c r="FP22" s="8">
        <v>0</v>
      </c>
      <c r="FQ22" s="8">
        <v>0</v>
      </c>
      <c r="FR22" s="8">
        <v>0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4">
        <f>SUM(F238,K22,P22,BN22,BS22,BX22,DV22,EA22,FJ22)</f>
        <v>862</v>
      </c>
      <c r="GA22" s="4">
        <f t="shared" ref="GA22:GA24" si="7">SUM(U22,Z22,AE22,CC22,CH22,CM22,EF22,EK22,FO22)</f>
        <v>97</v>
      </c>
      <c r="GB22" s="4">
        <f t="shared" ref="GB22:GB24" si="8">SUM(AJ22,AO22,AT22,CR22,CW22,DB22,EP22,EU22,FT22)</f>
        <v>11</v>
      </c>
      <c r="GC22" s="4">
        <f t="shared" ref="GC22:GC24" si="9">SUM(AY22,BD22,BI22,DG22,DL22,DQ22,EZ22,FE22,FY22)</f>
        <v>0</v>
      </c>
      <c r="GD22" s="4">
        <f t="shared" ref="GD22:GD24" si="10">SUM(FZ22,GA22,GB22:GC22)</f>
        <v>970</v>
      </c>
    </row>
    <row r="23" spans="1:186" ht="14.65" thickBot="1" x14ac:dyDescent="0.5">
      <c r="A23" s="2" t="s">
        <v>22</v>
      </c>
      <c r="B23" s="16">
        <v>159</v>
      </c>
      <c r="C23" s="15">
        <v>0</v>
      </c>
      <c r="D23" s="15">
        <v>36</v>
      </c>
      <c r="E23" s="14">
        <v>39</v>
      </c>
      <c r="F23" s="14">
        <v>234</v>
      </c>
      <c r="G23" s="14">
        <v>235</v>
      </c>
      <c r="H23" s="14">
        <v>0</v>
      </c>
      <c r="I23" s="14">
        <v>4</v>
      </c>
      <c r="J23" s="14">
        <v>0</v>
      </c>
      <c r="K23" s="14">
        <v>239</v>
      </c>
      <c r="L23" s="14">
        <v>150</v>
      </c>
      <c r="M23" s="14">
        <v>18</v>
      </c>
      <c r="N23" s="14">
        <v>0</v>
      </c>
      <c r="O23" s="14">
        <v>0</v>
      </c>
      <c r="P23" s="14">
        <v>168</v>
      </c>
      <c r="Q23" s="14">
        <v>8</v>
      </c>
      <c r="R23" s="14">
        <v>0</v>
      </c>
      <c r="S23" s="14">
        <v>0</v>
      </c>
      <c r="T23" s="14">
        <v>18</v>
      </c>
      <c r="U23" s="14">
        <v>26</v>
      </c>
      <c r="V23" s="14">
        <v>14</v>
      </c>
      <c r="W23" s="14">
        <v>0</v>
      </c>
      <c r="X23" s="14">
        <v>0</v>
      </c>
      <c r="Y23" s="14">
        <v>0</v>
      </c>
      <c r="Z23" s="14">
        <v>14</v>
      </c>
      <c r="AA23" s="14">
        <v>10</v>
      </c>
      <c r="AB23" s="14">
        <v>8</v>
      </c>
      <c r="AC23" s="14">
        <v>0</v>
      </c>
      <c r="AD23" s="14">
        <v>0</v>
      </c>
      <c r="AE23" s="14">
        <v>18</v>
      </c>
      <c r="AF23" s="14">
        <v>0</v>
      </c>
      <c r="AG23" s="14">
        <v>0</v>
      </c>
      <c r="AH23" s="14">
        <v>0</v>
      </c>
      <c r="AI23" s="14">
        <v>2</v>
      </c>
      <c r="AJ23" s="14">
        <v>2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1</v>
      </c>
      <c r="AQ23" s="14">
        <v>1</v>
      </c>
      <c r="AR23" s="14">
        <v>0</v>
      </c>
      <c r="AS23" s="14">
        <v>0</v>
      </c>
      <c r="AT23" s="14">
        <v>2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113</v>
      </c>
      <c r="BK23" s="14">
        <v>0</v>
      </c>
      <c r="BL23" s="14">
        <v>33</v>
      </c>
      <c r="BM23" s="14">
        <v>48</v>
      </c>
      <c r="BN23" s="14">
        <v>194</v>
      </c>
      <c r="BO23" s="14">
        <v>196</v>
      </c>
      <c r="BP23" s="14">
        <v>0</v>
      </c>
      <c r="BQ23" s="14">
        <v>4</v>
      </c>
      <c r="BR23" s="14">
        <v>0</v>
      </c>
      <c r="BS23" s="14">
        <v>200</v>
      </c>
      <c r="BT23" s="14">
        <v>81</v>
      </c>
      <c r="BU23" s="14">
        <v>26</v>
      </c>
      <c r="BV23" s="14">
        <v>0</v>
      </c>
      <c r="BW23" s="14">
        <v>0</v>
      </c>
      <c r="BX23" s="14">
        <v>107</v>
      </c>
      <c r="BY23" s="14">
        <v>4</v>
      </c>
      <c r="BZ23" s="14">
        <v>0</v>
      </c>
      <c r="CA23" s="14">
        <v>4</v>
      </c>
      <c r="CB23" s="14">
        <v>12</v>
      </c>
      <c r="CC23" s="14">
        <v>20</v>
      </c>
      <c r="CD23" s="14">
        <v>30</v>
      </c>
      <c r="CE23" s="14">
        <v>0</v>
      </c>
      <c r="CF23" s="14">
        <v>3</v>
      </c>
      <c r="CG23" s="14">
        <v>0</v>
      </c>
      <c r="CH23" s="14">
        <v>33</v>
      </c>
      <c r="CI23" s="14">
        <v>4</v>
      </c>
      <c r="CJ23" s="14">
        <v>1</v>
      </c>
      <c r="CK23" s="14">
        <v>0</v>
      </c>
      <c r="CL23" s="14">
        <v>0</v>
      </c>
      <c r="CM23" s="14">
        <v>5</v>
      </c>
      <c r="CN23" s="14">
        <v>0</v>
      </c>
      <c r="CO23" s="14">
        <v>0</v>
      </c>
      <c r="CP23" s="14">
        <v>0</v>
      </c>
      <c r="CQ23" s="14">
        <v>2</v>
      </c>
      <c r="CR23" s="14">
        <v>2</v>
      </c>
      <c r="CS23" s="14">
        <v>1</v>
      </c>
      <c r="CT23" s="14">
        <v>0</v>
      </c>
      <c r="CU23" s="14">
        <v>0</v>
      </c>
      <c r="CV23" s="14">
        <v>0</v>
      </c>
      <c r="CW23" s="14">
        <v>1</v>
      </c>
      <c r="CX23" s="14">
        <v>4</v>
      </c>
      <c r="CY23" s="14">
        <v>0</v>
      </c>
      <c r="CZ23" s="14">
        <v>0</v>
      </c>
      <c r="DA23" s="14">
        <v>0</v>
      </c>
      <c r="DB23" s="14">
        <v>4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3</v>
      </c>
      <c r="DS23" s="14">
        <v>0</v>
      </c>
      <c r="DT23" s="14">
        <v>5</v>
      </c>
      <c r="DU23" s="14">
        <v>0</v>
      </c>
      <c r="DV23" s="14">
        <v>8</v>
      </c>
      <c r="DW23" s="14">
        <v>0</v>
      </c>
      <c r="DX23" s="14">
        <v>9</v>
      </c>
      <c r="DY23" s="14">
        <v>0</v>
      </c>
      <c r="DZ23" s="14">
        <v>0</v>
      </c>
      <c r="EA23" s="14">
        <v>9</v>
      </c>
      <c r="EB23" s="14">
        <v>0</v>
      </c>
      <c r="EC23" s="14">
        <v>0</v>
      </c>
      <c r="ED23" s="14">
        <v>3</v>
      </c>
      <c r="EE23" s="14">
        <v>0</v>
      </c>
      <c r="EF23" s="14">
        <v>3</v>
      </c>
      <c r="EG23" s="14">
        <v>0</v>
      </c>
      <c r="EH23" s="14">
        <v>1</v>
      </c>
      <c r="EI23" s="14">
        <v>0</v>
      </c>
      <c r="EJ23" s="14">
        <v>0</v>
      </c>
      <c r="EK23" s="14">
        <v>1</v>
      </c>
      <c r="EL23" s="14">
        <v>0</v>
      </c>
      <c r="EM23" s="14">
        <v>0</v>
      </c>
      <c r="EN23" s="14">
        <v>2</v>
      </c>
      <c r="EO23" s="14">
        <v>0</v>
      </c>
      <c r="EP23" s="14">
        <v>2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5</v>
      </c>
      <c r="FG23" s="14">
        <v>0</v>
      </c>
      <c r="FH23" s="14">
        <v>7</v>
      </c>
      <c r="FI23" s="14">
        <v>0</v>
      </c>
      <c r="FJ23" s="14">
        <v>12</v>
      </c>
      <c r="FK23" s="14">
        <v>0</v>
      </c>
      <c r="FL23" s="14">
        <v>0</v>
      </c>
      <c r="FM23" s="14">
        <v>4</v>
      </c>
      <c r="FN23" s="14">
        <v>0</v>
      </c>
      <c r="FO23" s="14">
        <v>4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4">
        <f>SUM(F239,K23,P23,BN23,BS23,BX23,DV23,EA23,FJ23)</f>
        <v>937</v>
      </c>
      <c r="GA23" s="4">
        <f t="shared" si="7"/>
        <v>124</v>
      </c>
      <c r="GB23" s="4">
        <f t="shared" si="8"/>
        <v>13</v>
      </c>
      <c r="GC23" s="4">
        <f t="shared" si="9"/>
        <v>0</v>
      </c>
      <c r="GD23" s="4">
        <f t="shared" si="10"/>
        <v>1074</v>
      </c>
    </row>
    <row r="24" spans="1:186" ht="14.65" thickBot="1" x14ac:dyDescent="0.5">
      <c r="A24" s="7" t="s">
        <v>7</v>
      </c>
      <c r="B24" s="16">
        <v>152</v>
      </c>
      <c r="C24" s="15">
        <v>0</v>
      </c>
      <c r="D24" s="15">
        <v>35</v>
      </c>
      <c r="E24" s="14">
        <v>51</v>
      </c>
      <c r="F24" s="14">
        <v>238</v>
      </c>
      <c r="G24" s="14">
        <v>226</v>
      </c>
      <c r="H24" s="14">
        <v>0</v>
      </c>
      <c r="I24" s="14">
        <v>1</v>
      </c>
      <c r="J24" s="14">
        <v>0</v>
      </c>
      <c r="K24" s="14">
        <v>227</v>
      </c>
      <c r="L24" s="14">
        <v>121</v>
      </c>
      <c r="M24" s="14">
        <v>12</v>
      </c>
      <c r="N24" s="14">
        <v>0</v>
      </c>
      <c r="O24" s="14">
        <v>0</v>
      </c>
      <c r="P24" s="14">
        <v>133</v>
      </c>
      <c r="Q24" s="14">
        <v>5</v>
      </c>
      <c r="R24" s="14">
        <v>0</v>
      </c>
      <c r="S24" s="14">
        <v>2</v>
      </c>
      <c r="T24" s="14">
        <v>12</v>
      </c>
      <c r="U24" s="14">
        <v>19</v>
      </c>
      <c r="V24" s="14">
        <v>21</v>
      </c>
      <c r="W24" s="14">
        <v>0</v>
      </c>
      <c r="X24" s="14">
        <v>0</v>
      </c>
      <c r="Y24" s="14">
        <v>0</v>
      </c>
      <c r="Z24" s="14">
        <v>21</v>
      </c>
      <c r="AA24" s="14">
        <v>8</v>
      </c>
      <c r="AB24" s="14">
        <v>5</v>
      </c>
      <c r="AC24" s="14">
        <v>0</v>
      </c>
      <c r="AD24" s="14">
        <v>0</v>
      </c>
      <c r="AE24" s="14">
        <v>13</v>
      </c>
      <c r="AF24" s="14">
        <v>0</v>
      </c>
      <c r="AG24" s="14">
        <v>0</v>
      </c>
      <c r="AH24" s="14">
        <v>0</v>
      </c>
      <c r="AI24" s="14">
        <v>3</v>
      </c>
      <c r="AJ24" s="14">
        <v>3</v>
      </c>
      <c r="AK24" s="14">
        <v>1</v>
      </c>
      <c r="AL24" s="14">
        <v>0</v>
      </c>
      <c r="AM24" s="14">
        <v>0</v>
      </c>
      <c r="AN24" s="14">
        <v>0</v>
      </c>
      <c r="AO24" s="14">
        <v>1</v>
      </c>
      <c r="AP24" s="14">
        <v>6</v>
      </c>
      <c r="AQ24" s="14">
        <v>5</v>
      </c>
      <c r="AR24" s="14">
        <v>0</v>
      </c>
      <c r="AS24" s="14">
        <v>0</v>
      </c>
      <c r="AT24" s="14">
        <v>11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111</v>
      </c>
      <c r="BK24" s="14">
        <v>0</v>
      </c>
      <c r="BL24" s="14">
        <v>26</v>
      </c>
      <c r="BM24" s="14">
        <v>53</v>
      </c>
      <c r="BN24" s="14">
        <v>190</v>
      </c>
      <c r="BO24" s="14">
        <v>187</v>
      </c>
      <c r="BP24" s="14">
        <v>0</v>
      </c>
      <c r="BQ24" s="14">
        <v>1</v>
      </c>
      <c r="BR24" s="14">
        <v>0</v>
      </c>
      <c r="BS24" s="14">
        <v>186</v>
      </c>
      <c r="BT24" s="14">
        <v>103</v>
      </c>
      <c r="BU24" s="14">
        <v>22</v>
      </c>
      <c r="BV24" s="14">
        <v>0</v>
      </c>
      <c r="BW24" s="14">
        <v>0</v>
      </c>
      <c r="BX24" s="14">
        <v>125</v>
      </c>
      <c r="BY24" s="14">
        <v>12</v>
      </c>
      <c r="BZ24" s="14">
        <v>0</v>
      </c>
      <c r="CA24" s="14">
        <v>5</v>
      </c>
      <c r="CB24" s="14">
        <v>12</v>
      </c>
      <c r="CC24" s="14">
        <v>29</v>
      </c>
      <c r="CD24" s="14">
        <v>17</v>
      </c>
      <c r="CE24" s="14">
        <v>0</v>
      </c>
      <c r="CF24" s="14">
        <v>0</v>
      </c>
      <c r="CG24" s="14">
        <v>0</v>
      </c>
      <c r="CH24" s="14">
        <v>17</v>
      </c>
      <c r="CI24" s="14">
        <v>19</v>
      </c>
      <c r="CJ24" s="14">
        <v>1</v>
      </c>
      <c r="CK24" s="14">
        <v>0</v>
      </c>
      <c r="CL24" s="14">
        <v>0</v>
      </c>
      <c r="CM24" s="14">
        <v>20</v>
      </c>
      <c r="CN24" s="14">
        <v>0</v>
      </c>
      <c r="CO24" s="14">
        <v>0</v>
      </c>
      <c r="CP24" s="14">
        <v>2</v>
      </c>
      <c r="CQ24" s="14">
        <v>1</v>
      </c>
      <c r="CR24" s="14">
        <v>3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9</v>
      </c>
      <c r="CY24" s="14">
        <v>0</v>
      </c>
      <c r="CZ24" s="14">
        <v>0</v>
      </c>
      <c r="DA24" s="14">
        <v>0</v>
      </c>
      <c r="DB24" s="14">
        <v>9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9</v>
      </c>
      <c r="DS24" s="14">
        <v>0</v>
      </c>
      <c r="DT24" s="14">
        <v>3</v>
      </c>
      <c r="DU24" s="14">
        <v>0</v>
      </c>
      <c r="DV24" s="14">
        <v>12</v>
      </c>
      <c r="DW24" s="14">
        <v>2</v>
      </c>
      <c r="DX24" s="14">
        <v>8</v>
      </c>
      <c r="DY24" s="14">
        <v>0</v>
      </c>
      <c r="DZ24" s="14">
        <v>0</v>
      </c>
      <c r="EA24" s="14">
        <v>10</v>
      </c>
      <c r="EB24" s="14">
        <v>2</v>
      </c>
      <c r="EC24" s="14">
        <v>0</v>
      </c>
      <c r="ED24" s="14">
        <v>2</v>
      </c>
      <c r="EE24" s="14">
        <v>0</v>
      </c>
      <c r="EF24" s="14">
        <v>4</v>
      </c>
      <c r="EG24" s="14">
        <v>0</v>
      </c>
      <c r="EH24" s="14">
        <v>1</v>
      </c>
      <c r="EI24" s="14">
        <v>0</v>
      </c>
      <c r="EJ24" s="14">
        <v>0</v>
      </c>
      <c r="EK24" s="14">
        <v>1</v>
      </c>
      <c r="EL24" s="14">
        <v>0</v>
      </c>
      <c r="EM24" s="14">
        <v>0</v>
      </c>
      <c r="EN24" s="14">
        <v>1</v>
      </c>
      <c r="EO24" s="14">
        <v>0</v>
      </c>
      <c r="EP24" s="14">
        <v>1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5</v>
      </c>
      <c r="FG24" s="14">
        <v>0</v>
      </c>
      <c r="FH24" s="14">
        <v>4</v>
      </c>
      <c r="FI24" s="14">
        <v>0</v>
      </c>
      <c r="FJ24" s="14">
        <v>9</v>
      </c>
      <c r="FK24" s="14">
        <v>0</v>
      </c>
      <c r="FL24" s="14">
        <v>0</v>
      </c>
      <c r="FM24" s="14">
        <v>2</v>
      </c>
      <c r="FN24" s="14">
        <v>0</v>
      </c>
      <c r="FO24" s="14">
        <v>2</v>
      </c>
      <c r="FP24" s="14">
        <v>0</v>
      </c>
      <c r="FQ24" s="14">
        <v>0</v>
      </c>
      <c r="FR24" s="14">
        <v>0</v>
      </c>
      <c r="FS24" s="14">
        <v>0</v>
      </c>
      <c r="FT24" s="14">
        <v>0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4">
        <f>SUM(F240,K24,P24,BN24,BS24,BX24,DV24,EA24,FJ24)</f>
        <v>892</v>
      </c>
      <c r="GA24" s="4">
        <f t="shared" si="7"/>
        <v>126</v>
      </c>
      <c r="GB24" s="4">
        <f t="shared" si="8"/>
        <v>28</v>
      </c>
      <c r="GC24" s="4">
        <f t="shared" si="9"/>
        <v>0</v>
      </c>
      <c r="GD24" s="4">
        <f t="shared" si="10"/>
        <v>1046</v>
      </c>
    </row>
    <row r="25" spans="1:186" ht="14.65" thickBot="1" x14ac:dyDescent="0.5">
      <c r="A25" s="5" t="s">
        <v>5</v>
      </c>
      <c r="B25" s="16">
        <f>SUM(B21:B24)</f>
        <v>690</v>
      </c>
      <c r="C25" s="16">
        <f t="shared" ref="C25:BN25" si="11">SUM(C21:C24)</f>
        <v>0</v>
      </c>
      <c r="D25" s="16">
        <f t="shared" si="11"/>
        <v>116</v>
      </c>
      <c r="E25" s="16">
        <f t="shared" si="11"/>
        <v>165</v>
      </c>
      <c r="F25" s="16">
        <f t="shared" si="11"/>
        <v>971</v>
      </c>
      <c r="G25" s="16">
        <f t="shared" si="11"/>
        <v>953</v>
      </c>
      <c r="H25" s="16">
        <f t="shared" si="11"/>
        <v>0</v>
      </c>
      <c r="I25" s="16">
        <f t="shared" si="11"/>
        <v>5</v>
      </c>
      <c r="J25" s="16">
        <f t="shared" si="11"/>
        <v>0</v>
      </c>
      <c r="K25" s="16">
        <f t="shared" si="11"/>
        <v>958</v>
      </c>
      <c r="L25" s="16">
        <f t="shared" si="11"/>
        <v>546</v>
      </c>
      <c r="M25" s="16">
        <f t="shared" si="11"/>
        <v>41</v>
      </c>
      <c r="N25" s="16">
        <f t="shared" si="11"/>
        <v>0</v>
      </c>
      <c r="O25" s="16">
        <f t="shared" si="11"/>
        <v>0</v>
      </c>
      <c r="P25" s="16">
        <f t="shared" si="11"/>
        <v>587</v>
      </c>
      <c r="Q25" s="16">
        <f t="shared" si="11"/>
        <v>16</v>
      </c>
      <c r="R25" s="16">
        <f t="shared" si="11"/>
        <v>0</v>
      </c>
      <c r="S25" s="16">
        <f t="shared" si="11"/>
        <v>3</v>
      </c>
      <c r="T25" s="16">
        <f t="shared" si="11"/>
        <v>49</v>
      </c>
      <c r="U25" s="16">
        <f t="shared" si="11"/>
        <v>68</v>
      </c>
      <c r="V25" s="16">
        <f t="shared" si="11"/>
        <v>96</v>
      </c>
      <c r="W25" s="16">
        <f t="shared" si="11"/>
        <v>0</v>
      </c>
      <c r="X25" s="16">
        <f t="shared" si="11"/>
        <v>0</v>
      </c>
      <c r="Y25" s="16">
        <f t="shared" si="11"/>
        <v>0</v>
      </c>
      <c r="Z25" s="16">
        <f t="shared" si="11"/>
        <v>96</v>
      </c>
      <c r="AA25" s="16">
        <f t="shared" si="11"/>
        <v>33</v>
      </c>
      <c r="AB25" s="16">
        <f t="shared" si="11"/>
        <v>19</v>
      </c>
      <c r="AC25" s="16">
        <f t="shared" si="11"/>
        <v>0</v>
      </c>
      <c r="AD25" s="16">
        <f t="shared" si="11"/>
        <v>0</v>
      </c>
      <c r="AE25" s="16">
        <f t="shared" si="11"/>
        <v>52</v>
      </c>
      <c r="AF25" s="16">
        <f t="shared" si="11"/>
        <v>0</v>
      </c>
      <c r="AG25" s="16">
        <f t="shared" si="11"/>
        <v>0</v>
      </c>
      <c r="AH25" s="16">
        <f t="shared" si="11"/>
        <v>0</v>
      </c>
      <c r="AI25" s="16">
        <f t="shared" si="11"/>
        <v>9</v>
      </c>
      <c r="AJ25" s="16">
        <f t="shared" si="11"/>
        <v>9</v>
      </c>
      <c r="AK25" s="16">
        <f t="shared" si="11"/>
        <v>2</v>
      </c>
      <c r="AL25" s="16">
        <f t="shared" si="11"/>
        <v>0</v>
      </c>
      <c r="AM25" s="16">
        <f t="shared" si="11"/>
        <v>0</v>
      </c>
      <c r="AN25" s="16">
        <f t="shared" si="11"/>
        <v>0</v>
      </c>
      <c r="AO25" s="16">
        <f t="shared" si="11"/>
        <v>2</v>
      </c>
      <c r="AP25" s="16">
        <f t="shared" si="11"/>
        <v>12</v>
      </c>
      <c r="AQ25" s="16">
        <f t="shared" si="11"/>
        <v>13</v>
      </c>
      <c r="AR25" s="16">
        <f t="shared" si="11"/>
        <v>0</v>
      </c>
      <c r="AS25" s="16">
        <f t="shared" si="11"/>
        <v>0</v>
      </c>
      <c r="AT25" s="16">
        <f t="shared" si="11"/>
        <v>25</v>
      </c>
      <c r="AU25" s="16">
        <f t="shared" si="11"/>
        <v>0</v>
      </c>
      <c r="AV25" s="16">
        <f t="shared" si="11"/>
        <v>0</v>
      </c>
      <c r="AW25" s="16">
        <f t="shared" si="11"/>
        <v>0</v>
      </c>
      <c r="AX25" s="16">
        <f t="shared" si="11"/>
        <v>0</v>
      </c>
      <c r="AY25" s="16">
        <f t="shared" si="11"/>
        <v>0</v>
      </c>
      <c r="AZ25" s="16">
        <f t="shared" si="11"/>
        <v>0</v>
      </c>
      <c r="BA25" s="16">
        <f t="shared" si="11"/>
        <v>0</v>
      </c>
      <c r="BB25" s="16">
        <f t="shared" si="11"/>
        <v>0</v>
      </c>
      <c r="BC25" s="16">
        <f t="shared" si="11"/>
        <v>0</v>
      </c>
      <c r="BD25" s="16">
        <f t="shared" si="11"/>
        <v>0</v>
      </c>
      <c r="BE25" s="16">
        <f t="shared" si="11"/>
        <v>0</v>
      </c>
      <c r="BF25" s="16">
        <f t="shared" si="11"/>
        <v>0</v>
      </c>
      <c r="BG25" s="16">
        <f t="shared" si="11"/>
        <v>0</v>
      </c>
      <c r="BH25" s="16">
        <f t="shared" si="11"/>
        <v>0</v>
      </c>
      <c r="BI25" s="16">
        <f t="shared" si="11"/>
        <v>0</v>
      </c>
      <c r="BJ25" s="16">
        <f t="shared" si="11"/>
        <v>401</v>
      </c>
      <c r="BK25" s="16">
        <f t="shared" si="11"/>
        <v>0</v>
      </c>
      <c r="BL25" s="16">
        <f t="shared" si="11"/>
        <v>133</v>
      </c>
      <c r="BM25" s="16">
        <f t="shared" si="11"/>
        <v>181</v>
      </c>
      <c r="BN25" s="16">
        <f t="shared" si="11"/>
        <v>715</v>
      </c>
      <c r="BO25" s="16">
        <f t="shared" ref="BO25:DZ25" si="12">SUM(BO21:BO24)</f>
        <v>737</v>
      </c>
      <c r="BP25" s="16">
        <f t="shared" si="12"/>
        <v>0</v>
      </c>
      <c r="BQ25" s="16">
        <f t="shared" si="12"/>
        <v>14</v>
      </c>
      <c r="BR25" s="16">
        <f t="shared" si="12"/>
        <v>0</v>
      </c>
      <c r="BS25" s="16">
        <f t="shared" si="12"/>
        <v>749</v>
      </c>
      <c r="BT25" s="16">
        <f t="shared" si="12"/>
        <v>399</v>
      </c>
      <c r="BU25" s="16">
        <f t="shared" si="12"/>
        <v>78</v>
      </c>
      <c r="BV25" s="16">
        <f t="shared" si="12"/>
        <v>0</v>
      </c>
      <c r="BW25" s="16">
        <f t="shared" si="12"/>
        <v>0</v>
      </c>
      <c r="BX25" s="16">
        <f t="shared" si="12"/>
        <v>477</v>
      </c>
      <c r="BY25" s="16">
        <f t="shared" si="12"/>
        <v>22</v>
      </c>
      <c r="BZ25" s="16">
        <f t="shared" si="12"/>
        <v>0</v>
      </c>
      <c r="CA25" s="16">
        <f t="shared" si="12"/>
        <v>11</v>
      </c>
      <c r="CB25" s="16">
        <f t="shared" si="12"/>
        <v>34</v>
      </c>
      <c r="CC25" s="16">
        <f t="shared" si="12"/>
        <v>67</v>
      </c>
      <c r="CD25" s="16">
        <f t="shared" si="12"/>
        <v>75</v>
      </c>
      <c r="CE25" s="16">
        <f t="shared" si="12"/>
        <v>0</v>
      </c>
      <c r="CF25" s="16">
        <f t="shared" si="12"/>
        <v>5</v>
      </c>
      <c r="CG25" s="16">
        <f t="shared" si="12"/>
        <v>0</v>
      </c>
      <c r="CH25" s="16">
        <f t="shared" si="12"/>
        <v>80</v>
      </c>
      <c r="CI25" s="16">
        <f t="shared" si="12"/>
        <v>47</v>
      </c>
      <c r="CJ25" s="16">
        <f t="shared" si="12"/>
        <v>2</v>
      </c>
      <c r="CK25" s="16">
        <f t="shared" si="12"/>
        <v>0</v>
      </c>
      <c r="CL25" s="16">
        <f t="shared" si="12"/>
        <v>0</v>
      </c>
      <c r="CM25" s="16">
        <f t="shared" si="12"/>
        <v>49</v>
      </c>
      <c r="CN25" s="16">
        <f t="shared" si="12"/>
        <v>0</v>
      </c>
      <c r="CO25" s="16">
        <f t="shared" si="12"/>
        <v>0</v>
      </c>
      <c r="CP25" s="16">
        <f t="shared" si="12"/>
        <v>2</v>
      </c>
      <c r="CQ25" s="16">
        <f t="shared" si="12"/>
        <v>4</v>
      </c>
      <c r="CR25" s="16">
        <f t="shared" si="12"/>
        <v>6</v>
      </c>
      <c r="CS25" s="16">
        <f t="shared" si="12"/>
        <v>2</v>
      </c>
      <c r="CT25" s="16">
        <f t="shared" si="12"/>
        <v>0</v>
      </c>
      <c r="CU25" s="16">
        <f t="shared" si="12"/>
        <v>0</v>
      </c>
      <c r="CV25" s="16">
        <f t="shared" si="12"/>
        <v>0</v>
      </c>
      <c r="CW25" s="16">
        <f t="shared" si="12"/>
        <v>2</v>
      </c>
      <c r="CX25" s="16">
        <f t="shared" si="12"/>
        <v>16</v>
      </c>
      <c r="CY25" s="16">
        <f t="shared" si="12"/>
        <v>0</v>
      </c>
      <c r="CZ25" s="16">
        <f t="shared" si="12"/>
        <v>0</v>
      </c>
      <c r="DA25" s="16">
        <f t="shared" si="12"/>
        <v>0</v>
      </c>
      <c r="DB25" s="16">
        <f t="shared" si="12"/>
        <v>16</v>
      </c>
      <c r="DC25" s="16">
        <f t="shared" si="12"/>
        <v>0</v>
      </c>
      <c r="DD25" s="16">
        <f t="shared" si="12"/>
        <v>0</v>
      </c>
      <c r="DE25" s="16">
        <f t="shared" si="12"/>
        <v>0</v>
      </c>
      <c r="DF25" s="16">
        <f t="shared" si="12"/>
        <v>0</v>
      </c>
      <c r="DG25" s="16">
        <f t="shared" si="12"/>
        <v>0</v>
      </c>
      <c r="DH25" s="16">
        <f t="shared" si="12"/>
        <v>0</v>
      </c>
      <c r="DI25" s="16">
        <f t="shared" si="12"/>
        <v>0</v>
      </c>
      <c r="DJ25" s="16">
        <f t="shared" si="12"/>
        <v>0</v>
      </c>
      <c r="DK25" s="16">
        <f t="shared" si="12"/>
        <v>0</v>
      </c>
      <c r="DL25" s="16">
        <f t="shared" si="12"/>
        <v>0</v>
      </c>
      <c r="DM25" s="16">
        <f t="shared" si="12"/>
        <v>0</v>
      </c>
      <c r="DN25" s="16">
        <f t="shared" si="12"/>
        <v>0</v>
      </c>
      <c r="DO25" s="16">
        <f t="shared" si="12"/>
        <v>0</v>
      </c>
      <c r="DP25" s="16">
        <f t="shared" si="12"/>
        <v>0</v>
      </c>
      <c r="DQ25" s="16">
        <f t="shared" si="12"/>
        <v>0</v>
      </c>
      <c r="DR25" s="16">
        <f t="shared" si="12"/>
        <v>12</v>
      </c>
      <c r="DS25" s="16">
        <f t="shared" si="12"/>
        <v>0</v>
      </c>
      <c r="DT25" s="16">
        <f t="shared" si="12"/>
        <v>12</v>
      </c>
      <c r="DU25" s="16">
        <f t="shared" si="12"/>
        <v>0</v>
      </c>
      <c r="DV25" s="16">
        <f t="shared" si="12"/>
        <v>24</v>
      </c>
      <c r="DW25" s="16">
        <f t="shared" si="12"/>
        <v>3</v>
      </c>
      <c r="DX25" s="16">
        <f t="shared" si="12"/>
        <v>17</v>
      </c>
      <c r="DY25" s="16">
        <f t="shared" si="12"/>
        <v>0</v>
      </c>
      <c r="DZ25" s="16">
        <f t="shared" si="12"/>
        <v>0</v>
      </c>
      <c r="EA25" s="16">
        <f t="shared" ref="EA25:FY25" si="13">SUM(EA21:EA24)</f>
        <v>20</v>
      </c>
      <c r="EB25" s="16">
        <f t="shared" si="13"/>
        <v>2</v>
      </c>
      <c r="EC25" s="16">
        <f t="shared" si="13"/>
        <v>0</v>
      </c>
      <c r="ED25" s="16">
        <f t="shared" si="13"/>
        <v>5</v>
      </c>
      <c r="EE25" s="16">
        <f t="shared" si="13"/>
        <v>0</v>
      </c>
      <c r="EF25" s="16">
        <f t="shared" si="13"/>
        <v>7</v>
      </c>
      <c r="EG25" s="16">
        <f t="shared" si="13"/>
        <v>0</v>
      </c>
      <c r="EH25" s="16">
        <f t="shared" si="13"/>
        <v>3</v>
      </c>
      <c r="EI25" s="16">
        <f t="shared" si="13"/>
        <v>0</v>
      </c>
      <c r="EJ25" s="16">
        <f t="shared" si="13"/>
        <v>0</v>
      </c>
      <c r="EK25" s="16">
        <f t="shared" si="13"/>
        <v>3</v>
      </c>
      <c r="EL25" s="16">
        <f t="shared" si="13"/>
        <v>0</v>
      </c>
      <c r="EM25" s="16">
        <f t="shared" si="13"/>
        <v>0</v>
      </c>
      <c r="EN25" s="16">
        <f t="shared" si="13"/>
        <v>3</v>
      </c>
      <c r="EO25" s="16">
        <f t="shared" si="13"/>
        <v>0</v>
      </c>
      <c r="EP25" s="16">
        <f t="shared" si="13"/>
        <v>3</v>
      </c>
      <c r="EQ25" s="16">
        <f t="shared" si="13"/>
        <v>0</v>
      </c>
      <c r="ER25" s="16">
        <f t="shared" si="13"/>
        <v>0</v>
      </c>
      <c r="ES25" s="16">
        <f t="shared" si="13"/>
        <v>0</v>
      </c>
      <c r="ET25" s="16">
        <f t="shared" si="13"/>
        <v>0</v>
      </c>
      <c r="EU25" s="16">
        <f t="shared" si="13"/>
        <v>0</v>
      </c>
      <c r="EV25" s="16">
        <f t="shared" si="13"/>
        <v>0</v>
      </c>
      <c r="EW25" s="16">
        <f t="shared" si="13"/>
        <v>0</v>
      </c>
      <c r="EX25" s="16">
        <f t="shared" si="13"/>
        <v>0</v>
      </c>
      <c r="EY25" s="16">
        <f t="shared" si="13"/>
        <v>0</v>
      </c>
      <c r="EZ25" s="16">
        <f t="shared" si="13"/>
        <v>0</v>
      </c>
      <c r="FA25" s="16">
        <f t="shared" si="13"/>
        <v>0</v>
      </c>
      <c r="FB25" s="16">
        <f t="shared" si="13"/>
        <v>0</v>
      </c>
      <c r="FC25" s="16">
        <f t="shared" si="13"/>
        <v>0</v>
      </c>
      <c r="FD25" s="16">
        <f t="shared" si="13"/>
        <v>0</v>
      </c>
      <c r="FE25" s="16">
        <f t="shared" si="13"/>
        <v>0</v>
      </c>
      <c r="FF25" s="16">
        <f t="shared" si="13"/>
        <v>10</v>
      </c>
      <c r="FG25" s="16">
        <f t="shared" si="13"/>
        <v>0</v>
      </c>
      <c r="FH25" s="16">
        <f t="shared" si="13"/>
        <v>19</v>
      </c>
      <c r="FI25" s="16">
        <f t="shared" si="13"/>
        <v>0</v>
      </c>
      <c r="FJ25" s="16">
        <f t="shared" si="13"/>
        <v>29</v>
      </c>
      <c r="FK25" s="16">
        <f t="shared" si="13"/>
        <v>0</v>
      </c>
      <c r="FL25" s="16">
        <f t="shared" si="13"/>
        <v>0</v>
      </c>
      <c r="FM25" s="16">
        <f t="shared" si="13"/>
        <v>11</v>
      </c>
      <c r="FN25" s="16">
        <f t="shared" si="13"/>
        <v>0</v>
      </c>
      <c r="FO25" s="16">
        <f t="shared" si="13"/>
        <v>11</v>
      </c>
      <c r="FP25" s="16">
        <f t="shared" si="13"/>
        <v>0</v>
      </c>
      <c r="FQ25" s="16">
        <f t="shared" si="13"/>
        <v>0</v>
      </c>
      <c r="FR25" s="16">
        <f t="shared" si="13"/>
        <v>0</v>
      </c>
      <c r="FS25" s="16">
        <f t="shared" si="13"/>
        <v>0</v>
      </c>
      <c r="FT25" s="16">
        <f t="shared" si="13"/>
        <v>0</v>
      </c>
      <c r="FU25" s="16">
        <f t="shared" si="13"/>
        <v>0</v>
      </c>
      <c r="FV25" s="16">
        <f t="shared" si="13"/>
        <v>0</v>
      </c>
      <c r="FW25" s="16">
        <f t="shared" si="13"/>
        <v>0</v>
      </c>
      <c r="FX25" s="16">
        <f t="shared" si="13"/>
        <v>0</v>
      </c>
      <c r="FY25" s="16">
        <f t="shared" si="13"/>
        <v>0</v>
      </c>
      <c r="FZ25" s="16">
        <f t="shared" ref="FZ25" si="14">SUM(FZ21:FZ24)</f>
        <v>3559</v>
      </c>
      <c r="GA25" s="16">
        <f t="shared" ref="GA25" si="15">SUM(GA21:GA24)</f>
        <v>433</v>
      </c>
      <c r="GB25" s="16">
        <f t="shared" ref="GB25" si="16">SUM(GB21:GB24)</f>
        <v>63</v>
      </c>
      <c r="GC25" s="16">
        <f t="shared" ref="GC25" si="17">SUM(GC21:GC24)</f>
        <v>0</v>
      </c>
      <c r="GD25" s="16">
        <f t="shared" ref="GD25" si="18">SUM(GD21:GD24)</f>
        <v>4055</v>
      </c>
    </row>
    <row r="26" spans="1:186" x14ac:dyDescent="0.45">
      <c r="GC26" t="s">
        <v>28</v>
      </c>
      <c r="GD26" s="20">
        <f>AVERAGE(GD21:GD24)</f>
        <v>1013.75</v>
      </c>
    </row>
    <row r="28" spans="1:186" ht="14.65" thickBot="1" x14ac:dyDescent="0.5">
      <c r="A28" s="11" t="s">
        <v>27</v>
      </c>
    </row>
    <row r="29" spans="1:186" x14ac:dyDescent="0.45">
      <c r="A29" s="30" t="s">
        <v>0</v>
      </c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4"/>
      <c r="V29" s="32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4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5"/>
    </row>
    <row r="30" spans="1:186" x14ac:dyDescent="0.45">
      <c r="A30" s="31"/>
      <c r="B30" s="21" t="s">
        <v>6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3"/>
      <c r="BJ30" s="21" t="s">
        <v>18</v>
      </c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3"/>
      <c r="DR30" s="21" t="s">
        <v>25</v>
      </c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1" t="s">
        <v>13</v>
      </c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4" t="s">
        <v>5</v>
      </c>
      <c r="GA30" s="25"/>
      <c r="GB30" s="25"/>
      <c r="GC30" s="25"/>
      <c r="GD30" s="26"/>
    </row>
    <row r="31" spans="1:186" x14ac:dyDescent="0.45">
      <c r="A31" s="31"/>
      <c r="B31" s="21" t="s">
        <v>1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1" t="s">
        <v>17</v>
      </c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3"/>
      <c r="AF31" s="21" t="s">
        <v>3</v>
      </c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1" t="s">
        <v>12</v>
      </c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1" t="s">
        <v>1</v>
      </c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1" t="s">
        <v>17</v>
      </c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3"/>
      <c r="CN31" s="21" t="s">
        <v>3</v>
      </c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1" t="s">
        <v>12</v>
      </c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1" t="s">
        <v>1</v>
      </c>
      <c r="DS31" s="22"/>
      <c r="DT31" s="22"/>
      <c r="DU31" s="22"/>
      <c r="DV31" s="22"/>
      <c r="DW31" s="22"/>
      <c r="DX31" s="22"/>
      <c r="DY31" s="22"/>
      <c r="DZ31" s="22"/>
      <c r="EA31" s="22"/>
      <c r="EB31" s="21" t="s">
        <v>17</v>
      </c>
      <c r="EC31" s="22"/>
      <c r="ED31" s="22"/>
      <c r="EE31" s="22"/>
      <c r="EF31" s="22"/>
      <c r="EG31" s="22"/>
      <c r="EH31" s="22"/>
      <c r="EI31" s="22"/>
      <c r="EJ31" s="22"/>
      <c r="EK31" s="22"/>
      <c r="EL31" s="21" t="s">
        <v>3</v>
      </c>
      <c r="EM31" s="22"/>
      <c r="EN31" s="22"/>
      <c r="EO31" s="22"/>
      <c r="EP31" s="22"/>
      <c r="EQ31" s="22"/>
      <c r="ER31" s="22"/>
      <c r="ES31" s="22"/>
      <c r="ET31" s="22"/>
      <c r="EU31" s="22"/>
      <c r="EV31" s="21" t="s">
        <v>19</v>
      </c>
      <c r="EW31" s="22"/>
      <c r="EX31" s="22"/>
      <c r="EY31" s="22"/>
      <c r="EZ31" s="22"/>
      <c r="FA31" s="22"/>
      <c r="FB31" s="22"/>
      <c r="FC31" s="22"/>
      <c r="FD31" s="22"/>
      <c r="FE31" s="22"/>
      <c r="FF31" s="21" t="s">
        <v>1</v>
      </c>
      <c r="FG31" s="22"/>
      <c r="FH31" s="22"/>
      <c r="FI31" s="22"/>
      <c r="FJ31" s="22"/>
      <c r="FK31" s="21" t="s">
        <v>17</v>
      </c>
      <c r="FL31" s="22"/>
      <c r="FM31" s="22"/>
      <c r="FN31" s="22"/>
      <c r="FO31" s="22"/>
      <c r="FP31" s="21" t="s">
        <v>3</v>
      </c>
      <c r="FQ31" s="22"/>
      <c r="FR31" s="22"/>
      <c r="FS31" s="22"/>
      <c r="FT31" s="22"/>
      <c r="FU31" s="21" t="s">
        <v>19</v>
      </c>
      <c r="FV31" s="22"/>
      <c r="FW31" s="22"/>
      <c r="FX31" s="22"/>
      <c r="FY31" s="22"/>
      <c r="FZ31" s="24"/>
      <c r="GA31" s="25"/>
      <c r="GB31" s="25"/>
      <c r="GC31" s="25"/>
      <c r="GD31" s="26"/>
    </row>
    <row r="32" spans="1:186" x14ac:dyDescent="0.45">
      <c r="A32" s="31"/>
      <c r="B32" s="21" t="s">
        <v>14</v>
      </c>
      <c r="C32" s="22"/>
      <c r="D32" s="22"/>
      <c r="E32" s="22"/>
      <c r="F32" s="22"/>
      <c r="G32" s="22" t="s">
        <v>15</v>
      </c>
      <c r="H32" s="22"/>
      <c r="I32" s="22"/>
      <c r="J32" s="22"/>
      <c r="K32" s="22"/>
      <c r="L32" s="22" t="s">
        <v>16</v>
      </c>
      <c r="M32" s="22"/>
      <c r="N32" s="22"/>
      <c r="O32" s="22"/>
      <c r="P32" s="23"/>
      <c r="Q32" s="21" t="s">
        <v>14</v>
      </c>
      <c r="R32" s="22"/>
      <c r="S32" s="22"/>
      <c r="T32" s="22"/>
      <c r="U32" s="22"/>
      <c r="V32" s="22" t="s">
        <v>15</v>
      </c>
      <c r="W32" s="22"/>
      <c r="X32" s="22"/>
      <c r="Y32" s="22"/>
      <c r="Z32" s="22"/>
      <c r="AA32" s="22" t="s">
        <v>16</v>
      </c>
      <c r="AB32" s="22"/>
      <c r="AC32" s="22"/>
      <c r="AD32" s="22"/>
      <c r="AE32" s="22"/>
      <c r="AF32" s="21" t="s">
        <v>14</v>
      </c>
      <c r="AG32" s="22"/>
      <c r="AH32" s="22"/>
      <c r="AI32" s="22"/>
      <c r="AJ32" s="22"/>
      <c r="AK32" s="22" t="s">
        <v>15</v>
      </c>
      <c r="AL32" s="22"/>
      <c r="AM32" s="22"/>
      <c r="AN32" s="22"/>
      <c r="AO32" s="22"/>
      <c r="AP32" s="22" t="s">
        <v>16</v>
      </c>
      <c r="AQ32" s="22"/>
      <c r="AR32" s="22"/>
      <c r="AS32" s="22"/>
      <c r="AT32" s="22"/>
      <c r="AU32" s="21" t="s">
        <v>14</v>
      </c>
      <c r="AV32" s="22"/>
      <c r="AW32" s="22"/>
      <c r="AX32" s="22"/>
      <c r="AY32" s="22"/>
      <c r="AZ32" s="22" t="s">
        <v>15</v>
      </c>
      <c r="BA32" s="22"/>
      <c r="BB32" s="22"/>
      <c r="BC32" s="22"/>
      <c r="BD32" s="22"/>
      <c r="BE32" s="22" t="s">
        <v>16</v>
      </c>
      <c r="BF32" s="22"/>
      <c r="BG32" s="22"/>
      <c r="BH32" s="22"/>
      <c r="BI32" s="22"/>
      <c r="BJ32" s="21" t="s">
        <v>14</v>
      </c>
      <c r="BK32" s="22"/>
      <c r="BL32" s="22"/>
      <c r="BM32" s="22"/>
      <c r="BN32" s="22"/>
      <c r="BO32" s="22" t="s">
        <v>15</v>
      </c>
      <c r="BP32" s="22"/>
      <c r="BQ32" s="22"/>
      <c r="BR32" s="22"/>
      <c r="BS32" s="22"/>
      <c r="BT32" s="22" t="s">
        <v>16</v>
      </c>
      <c r="BU32" s="22"/>
      <c r="BV32" s="22"/>
      <c r="BW32" s="22"/>
      <c r="BX32" s="23"/>
      <c r="BY32" s="21" t="s">
        <v>14</v>
      </c>
      <c r="BZ32" s="22"/>
      <c r="CA32" s="22"/>
      <c r="CB32" s="22"/>
      <c r="CC32" s="22"/>
      <c r="CD32" s="22" t="s">
        <v>15</v>
      </c>
      <c r="CE32" s="22"/>
      <c r="CF32" s="22"/>
      <c r="CG32" s="22"/>
      <c r="CH32" s="22"/>
      <c r="CI32" s="22" t="s">
        <v>16</v>
      </c>
      <c r="CJ32" s="22"/>
      <c r="CK32" s="22"/>
      <c r="CL32" s="22"/>
      <c r="CM32" s="22"/>
      <c r="CN32" s="21" t="s">
        <v>14</v>
      </c>
      <c r="CO32" s="22"/>
      <c r="CP32" s="22"/>
      <c r="CQ32" s="22"/>
      <c r="CR32" s="22"/>
      <c r="CS32" s="22" t="s">
        <v>15</v>
      </c>
      <c r="CT32" s="22"/>
      <c r="CU32" s="22"/>
      <c r="CV32" s="22"/>
      <c r="CW32" s="22"/>
      <c r="CX32" s="22" t="s">
        <v>16</v>
      </c>
      <c r="CY32" s="22"/>
      <c r="CZ32" s="22"/>
      <c r="DA32" s="22"/>
      <c r="DB32" s="22"/>
      <c r="DC32" s="21" t="s">
        <v>14</v>
      </c>
      <c r="DD32" s="22"/>
      <c r="DE32" s="22"/>
      <c r="DF32" s="22"/>
      <c r="DG32" s="22"/>
      <c r="DH32" s="22" t="s">
        <v>15</v>
      </c>
      <c r="DI32" s="22"/>
      <c r="DJ32" s="22"/>
      <c r="DK32" s="22"/>
      <c r="DL32" s="22"/>
      <c r="DM32" s="22" t="s">
        <v>16</v>
      </c>
      <c r="DN32" s="22"/>
      <c r="DO32" s="22"/>
      <c r="DP32" s="22"/>
      <c r="DQ32" s="22"/>
      <c r="DR32" s="21" t="s">
        <v>14</v>
      </c>
      <c r="DS32" s="22"/>
      <c r="DT32" s="22"/>
      <c r="DU32" s="22"/>
      <c r="DV32" s="22"/>
      <c r="DW32" s="21" t="s">
        <v>15</v>
      </c>
      <c r="DX32" s="22"/>
      <c r="DY32" s="22"/>
      <c r="DZ32" s="22"/>
      <c r="EA32" s="22"/>
      <c r="EB32" s="21" t="s">
        <v>14</v>
      </c>
      <c r="EC32" s="22"/>
      <c r="ED32" s="22"/>
      <c r="EE32" s="22"/>
      <c r="EF32" s="22"/>
      <c r="EG32" s="21" t="s">
        <v>15</v>
      </c>
      <c r="EH32" s="22"/>
      <c r="EI32" s="22"/>
      <c r="EJ32" s="22"/>
      <c r="EK32" s="22"/>
      <c r="EL32" s="21" t="s">
        <v>14</v>
      </c>
      <c r="EM32" s="22"/>
      <c r="EN32" s="22"/>
      <c r="EO32" s="22"/>
      <c r="EP32" s="22"/>
      <c r="EQ32" s="21" t="s">
        <v>15</v>
      </c>
      <c r="ER32" s="22"/>
      <c r="ES32" s="22"/>
      <c r="ET32" s="22"/>
      <c r="EU32" s="22"/>
      <c r="EV32" s="21" t="s">
        <v>14</v>
      </c>
      <c r="EW32" s="22"/>
      <c r="EX32" s="22"/>
      <c r="EY32" s="22"/>
      <c r="EZ32" s="22"/>
      <c r="FA32" s="21" t="s">
        <v>15</v>
      </c>
      <c r="FB32" s="22"/>
      <c r="FC32" s="22"/>
      <c r="FD32" s="22"/>
      <c r="FE32" s="22"/>
      <c r="FF32" s="21" t="s">
        <v>14</v>
      </c>
      <c r="FG32" s="22"/>
      <c r="FH32" s="22"/>
      <c r="FI32" s="22"/>
      <c r="FJ32" s="22"/>
      <c r="FK32" s="21" t="s">
        <v>14</v>
      </c>
      <c r="FL32" s="22"/>
      <c r="FM32" s="22"/>
      <c r="FN32" s="22"/>
      <c r="FO32" s="22"/>
      <c r="FP32" s="21" t="s">
        <v>14</v>
      </c>
      <c r="FQ32" s="22"/>
      <c r="FR32" s="22"/>
      <c r="FS32" s="22"/>
      <c r="FT32" s="22"/>
      <c r="FU32" s="21" t="s">
        <v>14</v>
      </c>
      <c r="FV32" s="22"/>
      <c r="FW32" s="22"/>
      <c r="FX32" s="22"/>
      <c r="FY32" s="22"/>
      <c r="FZ32" s="27"/>
      <c r="GA32" s="28"/>
      <c r="GB32" s="28"/>
      <c r="GC32" s="28"/>
      <c r="GD32" s="29"/>
    </row>
    <row r="33" spans="1:186" x14ac:dyDescent="0.45">
      <c r="B33" s="10" t="s">
        <v>8</v>
      </c>
      <c r="C33" s="10" t="s">
        <v>9</v>
      </c>
      <c r="D33" s="10" t="s">
        <v>10</v>
      </c>
      <c r="E33" s="10" t="s">
        <v>11</v>
      </c>
      <c r="F33" s="17" t="s">
        <v>4</v>
      </c>
      <c r="G33" s="10" t="s">
        <v>8</v>
      </c>
      <c r="H33" s="10" t="s">
        <v>9</v>
      </c>
      <c r="I33" s="10" t="s">
        <v>10</v>
      </c>
      <c r="J33" s="10" t="s">
        <v>11</v>
      </c>
      <c r="K33" s="17" t="s">
        <v>4</v>
      </c>
      <c r="L33" s="10" t="s">
        <v>8</v>
      </c>
      <c r="M33" s="10" t="s">
        <v>9</v>
      </c>
      <c r="N33" s="10" t="s">
        <v>10</v>
      </c>
      <c r="O33" s="10" t="s">
        <v>11</v>
      </c>
      <c r="P33" s="17" t="s">
        <v>4</v>
      </c>
      <c r="Q33" s="10" t="s">
        <v>8</v>
      </c>
      <c r="R33" s="10" t="s">
        <v>9</v>
      </c>
      <c r="S33" s="10" t="s">
        <v>10</v>
      </c>
      <c r="T33" s="10" t="s">
        <v>11</v>
      </c>
      <c r="U33" s="17" t="s">
        <v>4</v>
      </c>
      <c r="V33" s="10" t="s">
        <v>8</v>
      </c>
      <c r="W33" s="10" t="s">
        <v>9</v>
      </c>
      <c r="X33" s="10" t="s">
        <v>10</v>
      </c>
      <c r="Y33" s="10" t="s">
        <v>11</v>
      </c>
      <c r="Z33" s="17" t="s">
        <v>4</v>
      </c>
      <c r="AA33" s="10" t="s">
        <v>8</v>
      </c>
      <c r="AB33" s="10" t="s">
        <v>9</v>
      </c>
      <c r="AC33" s="10" t="s">
        <v>10</v>
      </c>
      <c r="AD33" s="10" t="s">
        <v>11</v>
      </c>
      <c r="AE33" s="17" t="s">
        <v>4</v>
      </c>
      <c r="AF33" s="10" t="s">
        <v>8</v>
      </c>
      <c r="AG33" s="10" t="s">
        <v>9</v>
      </c>
      <c r="AH33" s="10" t="s">
        <v>10</v>
      </c>
      <c r="AI33" s="10" t="s">
        <v>11</v>
      </c>
      <c r="AJ33" s="17" t="s">
        <v>4</v>
      </c>
      <c r="AK33" s="10" t="s">
        <v>8</v>
      </c>
      <c r="AL33" s="10" t="s">
        <v>9</v>
      </c>
      <c r="AM33" s="10" t="s">
        <v>10</v>
      </c>
      <c r="AN33" s="10" t="s">
        <v>11</v>
      </c>
      <c r="AO33" s="17" t="s">
        <v>4</v>
      </c>
      <c r="AP33" s="10" t="s">
        <v>8</v>
      </c>
      <c r="AQ33" s="10" t="s">
        <v>9</v>
      </c>
      <c r="AR33" s="10" t="s">
        <v>10</v>
      </c>
      <c r="AS33" s="10" t="s">
        <v>11</v>
      </c>
      <c r="AT33" s="17" t="s">
        <v>4</v>
      </c>
      <c r="AU33" s="10" t="s">
        <v>8</v>
      </c>
      <c r="AV33" s="10" t="s">
        <v>9</v>
      </c>
      <c r="AW33" s="10" t="s">
        <v>10</v>
      </c>
      <c r="AX33" s="10" t="s">
        <v>11</v>
      </c>
      <c r="AY33" s="17" t="s">
        <v>4</v>
      </c>
      <c r="AZ33" s="10" t="s">
        <v>8</v>
      </c>
      <c r="BA33" s="10" t="s">
        <v>9</v>
      </c>
      <c r="BB33" s="10" t="s">
        <v>10</v>
      </c>
      <c r="BC33" s="10" t="s">
        <v>11</v>
      </c>
      <c r="BD33" s="17" t="s">
        <v>4</v>
      </c>
      <c r="BE33" s="10" t="s">
        <v>8</v>
      </c>
      <c r="BF33" s="10" t="s">
        <v>9</v>
      </c>
      <c r="BG33" s="10" t="s">
        <v>10</v>
      </c>
      <c r="BH33" s="10" t="s">
        <v>11</v>
      </c>
      <c r="BI33" s="17" t="s">
        <v>4</v>
      </c>
      <c r="BJ33" s="10" t="s">
        <v>8</v>
      </c>
      <c r="BK33" s="10" t="s">
        <v>9</v>
      </c>
      <c r="BL33" s="10" t="s">
        <v>10</v>
      </c>
      <c r="BM33" s="10" t="s">
        <v>11</v>
      </c>
      <c r="BN33" s="17" t="s">
        <v>4</v>
      </c>
      <c r="BO33" s="10" t="s">
        <v>8</v>
      </c>
      <c r="BP33" s="10" t="s">
        <v>9</v>
      </c>
      <c r="BQ33" s="10" t="s">
        <v>10</v>
      </c>
      <c r="BR33" s="10" t="s">
        <v>11</v>
      </c>
      <c r="BS33" s="17" t="s">
        <v>4</v>
      </c>
      <c r="BT33" s="10" t="s">
        <v>8</v>
      </c>
      <c r="BU33" s="10" t="s">
        <v>9</v>
      </c>
      <c r="BV33" s="10" t="s">
        <v>10</v>
      </c>
      <c r="BW33" s="10" t="s">
        <v>11</v>
      </c>
      <c r="BX33" s="17" t="s">
        <v>4</v>
      </c>
      <c r="BY33" s="10" t="s">
        <v>8</v>
      </c>
      <c r="BZ33" s="10" t="s">
        <v>9</v>
      </c>
      <c r="CA33" s="10" t="s">
        <v>10</v>
      </c>
      <c r="CB33" s="10" t="s">
        <v>11</v>
      </c>
      <c r="CC33" s="17" t="s">
        <v>4</v>
      </c>
      <c r="CD33" s="10" t="s">
        <v>8</v>
      </c>
      <c r="CE33" s="10" t="s">
        <v>9</v>
      </c>
      <c r="CF33" s="10" t="s">
        <v>10</v>
      </c>
      <c r="CG33" s="10" t="s">
        <v>11</v>
      </c>
      <c r="CH33" s="17" t="s">
        <v>4</v>
      </c>
      <c r="CI33" s="10" t="s">
        <v>8</v>
      </c>
      <c r="CJ33" s="10" t="s">
        <v>9</v>
      </c>
      <c r="CK33" s="10" t="s">
        <v>10</v>
      </c>
      <c r="CL33" s="10" t="s">
        <v>11</v>
      </c>
      <c r="CM33" s="17" t="s">
        <v>4</v>
      </c>
      <c r="CN33" s="10" t="s">
        <v>8</v>
      </c>
      <c r="CO33" s="10" t="s">
        <v>9</v>
      </c>
      <c r="CP33" s="10" t="s">
        <v>10</v>
      </c>
      <c r="CQ33" s="10" t="s">
        <v>11</v>
      </c>
      <c r="CR33" s="17" t="s">
        <v>4</v>
      </c>
      <c r="CS33" s="10" t="s">
        <v>8</v>
      </c>
      <c r="CT33" s="10" t="s">
        <v>9</v>
      </c>
      <c r="CU33" s="10" t="s">
        <v>10</v>
      </c>
      <c r="CV33" s="10" t="s">
        <v>11</v>
      </c>
      <c r="CW33" s="17" t="s">
        <v>4</v>
      </c>
      <c r="CX33" s="10" t="s">
        <v>8</v>
      </c>
      <c r="CY33" s="10" t="s">
        <v>9</v>
      </c>
      <c r="CZ33" s="10" t="s">
        <v>10</v>
      </c>
      <c r="DA33" s="10" t="s">
        <v>11</v>
      </c>
      <c r="DB33" s="17" t="s">
        <v>4</v>
      </c>
      <c r="DC33" s="10" t="s">
        <v>8</v>
      </c>
      <c r="DD33" s="10" t="s">
        <v>9</v>
      </c>
      <c r="DE33" s="10" t="s">
        <v>10</v>
      </c>
      <c r="DF33" s="10" t="s">
        <v>11</v>
      </c>
      <c r="DG33" s="17" t="s">
        <v>4</v>
      </c>
      <c r="DH33" s="10" t="s">
        <v>8</v>
      </c>
      <c r="DI33" s="10" t="s">
        <v>9</v>
      </c>
      <c r="DJ33" s="10" t="s">
        <v>10</v>
      </c>
      <c r="DK33" s="10" t="s">
        <v>11</v>
      </c>
      <c r="DL33" s="17" t="s">
        <v>4</v>
      </c>
      <c r="DM33" s="10" t="s">
        <v>8</v>
      </c>
      <c r="DN33" s="10" t="s">
        <v>9</v>
      </c>
      <c r="DO33" s="10" t="s">
        <v>10</v>
      </c>
      <c r="DP33" s="10" t="s">
        <v>11</v>
      </c>
      <c r="DQ33" s="17" t="s">
        <v>4</v>
      </c>
      <c r="DR33" s="10" t="s">
        <v>8</v>
      </c>
      <c r="DS33" s="10" t="s">
        <v>9</v>
      </c>
      <c r="DT33" s="10" t="s">
        <v>10</v>
      </c>
      <c r="DU33" s="10" t="s">
        <v>11</v>
      </c>
      <c r="DV33" s="17" t="s">
        <v>4</v>
      </c>
      <c r="DW33" s="10" t="s">
        <v>8</v>
      </c>
      <c r="DX33" s="10" t="s">
        <v>9</v>
      </c>
      <c r="DY33" s="10" t="s">
        <v>10</v>
      </c>
      <c r="DZ33" s="10" t="s">
        <v>11</v>
      </c>
      <c r="EA33" s="17" t="s">
        <v>4</v>
      </c>
      <c r="EB33" s="10" t="s">
        <v>8</v>
      </c>
      <c r="EC33" s="10" t="s">
        <v>9</v>
      </c>
      <c r="ED33" s="10" t="s">
        <v>10</v>
      </c>
      <c r="EE33" s="10" t="s">
        <v>11</v>
      </c>
      <c r="EF33" s="17" t="s">
        <v>4</v>
      </c>
      <c r="EG33" s="10" t="s">
        <v>8</v>
      </c>
      <c r="EH33" s="10" t="s">
        <v>9</v>
      </c>
      <c r="EI33" s="10" t="s">
        <v>10</v>
      </c>
      <c r="EJ33" s="10" t="s">
        <v>11</v>
      </c>
      <c r="EK33" s="17" t="s">
        <v>4</v>
      </c>
      <c r="EL33" s="10" t="s">
        <v>8</v>
      </c>
      <c r="EM33" s="10" t="s">
        <v>9</v>
      </c>
      <c r="EN33" s="10" t="s">
        <v>10</v>
      </c>
      <c r="EO33" s="10" t="s">
        <v>11</v>
      </c>
      <c r="EP33" s="17" t="s">
        <v>4</v>
      </c>
      <c r="EQ33" s="10" t="s">
        <v>8</v>
      </c>
      <c r="ER33" s="10" t="s">
        <v>9</v>
      </c>
      <c r="ES33" s="10" t="s">
        <v>10</v>
      </c>
      <c r="ET33" s="10" t="s">
        <v>11</v>
      </c>
      <c r="EU33" s="17" t="s">
        <v>4</v>
      </c>
      <c r="EV33" s="10" t="s">
        <v>8</v>
      </c>
      <c r="EW33" s="10" t="s">
        <v>9</v>
      </c>
      <c r="EX33" s="10" t="s">
        <v>10</v>
      </c>
      <c r="EY33" s="10" t="s">
        <v>11</v>
      </c>
      <c r="EZ33" s="17" t="s">
        <v>4</v>
      </c>
      <c r="FA33" s="10" t="s">
        <v>8</v>
      </c>
      <c r="FB33" s="10" t="s">
        <v>9</v>
      </c>
      <c r="FC33" s="10" t="s">
        <v>10</v>
      </c>
      <c r="FD33" s="10" t="s">
        <v>11</v>
      </c>
      <c r="FE33" s="17" t="s">
        <v>4</v>
      </c>
      <c r="FF33" s="10" t="s">
        <v>8</v>
      </c>
      <c r="FG33" s="10" t="s">
        <v>9</v>
      </c>
      <c r="FH33" s="10" t="s">
        <v>10</v>
      </c>
      <c r="FI33" s="10" t="s">
        <v>11</v>
      </c>
      <c r="FJ33" s="17" t="s">
        <v>4</v>
      </c>
      <c r="FK33" s="10" t="s">
        <v>8</v>
      </c>
      <c r="FL33" s="10" t="s">
        <v>9</v>
      </c>
      <c r="FM33" s="10" t="s">
        <v>10</v>
      </c>
      <c r="FN33" s="10" t="s">
        <v>11</v>
      </c>
      <c r="FO33" s="17" t="s">
        <v>4</v>
      </c>
      <c r="FP33" s="10" t="s">
        <v>8</v>
      </c>
      <c r="FQ33" s="10" t="s">
        <v>9</v>
      </c>
      <c r="FR33" s="10" t="s">
        <v>10</v>
      </c>
      <c r="FS33" s="10" t="s">
        <v>11</v>
      </c>
      <c r="FT33" s="17" t="s">
        <v>4</v>
      </c>
      <c r="FU33" s="10" t="s">
        <v>8</v>
      </c>
      <c r="FV33" s="10" t="s">
        <v>9</v>
      </c>
      <c r="FW33" s="10" t="s">
        <v>10</v>
      </c>
      <c r="FX33" s="10" t="s">
        <v>11</v>
      </c>
      <c r="FY33" s="17" t="s">
        <v>4</v>
      </c>
      <c r="FZ33" s="12" t="s">
        <v>1</v>
      </c>
      <c r="GA33" s="10" t="s">
        <v>2</v>
      </c>
      <c r="GB33" s="10" t="s">
        <v>3</v>
      </c>
      <c r="GC33" s="10" t="s">
        <v>12</v>
      </c>
      <c r="GD33" s="10" t="s">
        <v>5</v>
      </c>
    </row>
    <row r="34" spans="1:186" x14ac:dyDescent="0.45">
      <c r="A34" s="9" t="s">
        <v>20</v>
      </c>
      <c r="B34" s="3">
        <v>164</v>
      </c>
      <c r="C34" s="1">
        <v>0</v>
      </c>
      <c r="D34" s="1">
        <v>17</v>
      </c>
      <c r="E34" s="1">
        <v>39</v>
      </c>
      <c r="F34" s="1">
        <v>220</v>
      </c>
      <c r="G34" s="1">
        <v>247</v>
      </c>
      <c r="H34" s="1">
        <v>0</v>
      </c>
      <c r="I34" s="1">
        <v>0</v>
      </c>
      <c r="J34" s="1">
        <v>0</v>
      </c>
      <c r="K34" s="1">
        <v>247</v>
      </c>
      <c r="L34" s="1">
        <v>147</v>
      </c>
      <c r="M34" s="1">
        <v>2</v>
      </c>
      <c r="N34" s="1">
        <v>0</v>
      </c>
      <c r="O34" s="1">
        <v>0</v>
      </c>
      <c r="P34" s="1">
        <v>149</v>
      </c>
      <c r="Q34" s="1">
        <v>1</v>
      </c>
      <c r="R34" s="1">
        <v>0</v>
      </c>
      <c r="S34" s="1">
        <v>1</v>
      </c>
      <c r="T34" s="1">
        <v>7</v>
      </c>
      <c r="U34" s="1">
        <v>9</v>
      </c>
      <c r="V34" s="1">
        <v>25</v>
      </c>
      <c r="W34" s="1">
        <v>0</v>
      </c>
      <c r="X34" s="1">
        <v>0</v>
      </c>
      <c r="Y34" s="1">
        <v>0</v>
      </c>
      <c r="Z34" s="1">
        <v>25</v>
      </c>
      <c r="AA34" s="1">
        <v>2</v>
      </c>
      <c r="AB34" s="1">
        <v>2</v>
      </c>
      <c r="AC34" s="1">
        <v>0</v>
      </c>
      <c r="AD34" s="1">
        <v>0</v>
      </c>
      <c r="AE34" s="1">
        <v>4</v>
      </c>
      <c r="AF34" s="1">
        <v>0</v>
      </c>
      <c r="AG34" s="1">
        <v>0</v>
      </c>
      <c r="AH34" s="1">
        <v>0</v>
      </c>
      <c r="AI34" s="1">
        <v>2</v>
      </c>
      <c r="AJ34" s="1">
        <v>2</v>
      </c>
      <c r="AK34" s="1">
        <v>15</v>
      </c>
      <c r="AL34" s="1">
        <v>0</v>
      </c>
      <c r="AM34" s="1">
        <v>0</v>
      </c>
      <c r="AN34" s="1">
        <v>0</v>
      </c>
      <c r="AO34" s="1">
        <v>15</v>
      </c>
      <c r="AP34" s="1">
        <v>3</v>
      </c>
      <c r="AQ34" s="1">
        <v>0</v>
      </c>
      <c r="AR34" s="1">
        <v>0</v>
      </c>
      <c r="AS34" s="1">
        <v>0</v>
      </c>
      <c r="AT34" s="1">
        <v>3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55</v>
      </c>
      <c r="BK34" s="1">
        <v>0</v>
      </c>
      <c r="BL34" s="1">
        <v>31</v>
      </c>
      <c r="BM34" s="1">
        <v>40</v>
      </c>
      <c r="BN34" s="1">
        <v>126</v>
      </c>
      <c r="BO34" s="1">
        <v>151</v>
      </c>
      <c r="BP34" s="1">
        <v>0</v>
      </c>
      <c r="BQ34" s="1">
        <v>3</v>
      </c>
      <c r="BR34" s="1">
        <v>0</v>
      </c>
      <c r="BS34" s="1">
        <v>154</v>
      </c>
      <c r="BT34" s="1">
        <v>74</v>
      </c>
      <c r="BU34" s="1">
        <v>25</v>
      </c>
      <c r="BV34" s="1">
        <v>0</v>
      </c>
      <c r="BW34" s="1">
        <v>0</v>
      </c>
      <c r="BX34" s="1">
        <v>99</v>
      </c>
      <c r="BY34" s="1">
        <v>0</v>
      </c>
      <c r="BZ34" s="1">
        <v>0</v>
      </c>
      <c r="CA34" s="1">
        <v>8</v>
      </c>
      <c r="CB34" s="1">
        <v>1</v>
      </c>
      <c r="CC34" s="1">
        <v>9</v>
      </c>
      <c r="CD34" s="1">
        <v>5</v>
      </c>
      <c r="CE34" s="1">
        <v>0</v>
      </c>
      <c r="CF34" s="1">
        <v>0</v>
      </c>
      <c r="CG34" s="1">
        <v>0</v>
      </c>
      <c r="CH34" s="1">
        <v>5</v>
      </c>
      <c r="CI34" s="1">
        <v>7</v>
      </c>
      <c r="CJ34" s="1">
        <v>0</v>
      </c>
      <c r="CK34" s="1">
        <v>0</v>
      </c>
      <c r="CL34" s="1">
        <v>0</v>
      </c>
      <c r="CM34" s="1">
        <v>7</v>
      </c>
      <c r="CN34" s="1">
        <v>0</v>
      </c>
      <c r="CO34" s="1">
        <v>0</v>
      </c>
      <c r="CP34" s="1">
        <v>1</v>
      </c>
      <c r="CQ34" s="1">
        <v>1</v>
      </c>
      <c r="CR34" s="1">
        <v>2</v>
      </c>
      <c r="CS34" s="1">
        <v>7</v>
      </c>
      <c r="CT34" s="1">
        <v>0</v>
      </c>
      <c r="CU34" s="1">
        <v>0</v>
      </c>
      <c r="CV34" s="1">
        <v>0</v>
      </c>
      <c r="CW34" s="1">
        <v>7</v>
      </c>
      <c r="CX34" s="1">
        <v>1</v>
      </c>
      <c r="CY34" s="1">
        <v>0</v>
      </c>
      <c r="CZ34" s="1">
        <v>0</v>
      </c>
      <c r="DA34" s="1">
        <v>0</v>
      </c>
      <c r="DB34" s="1">
        <v>1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1</v>
      </c>
      <c r="DU34" s="1">
        <v>0</v>
      </c>
      <c r="DV34" s="1">
        <v>1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1</v>
      </c>
      <c r="FG34" s="1">
        <v>0</v>
      </c>
      <c r="FH34" s="1">
        <v>5</v>
      </c>
      <c r="FI34" s="1">
        <v>0</v>
      </c>
      <c r="FJ34" s="1">
        <v>6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4">
        <f>SUM(F34,K34,P34,BN34,BS34,BX34,DV34,EA34,FJ34)</f>
        <v>1002</v>
      </c>
      <c r="GA34" s="4">
        <f>SUM(U34,Z34,AE34,CC34,CH34,CM34,EF34,EK34,FO34)</f>
        <v>59</v>
      </c>
      <c r="GB34" s="4">
        <f>SUM(AJ34,AO34,AT34,CR34,CW34,DB34,EP34,EU34,FT34)</f>
        <v>30</v>
      </c>
      <c r="GC34" s="4">
        <f>SUM(AY34,BD34,BI34,DG34,DL34,DQ34,EZ34,FE34,FY34)</f>
        <v>0</v>
      </c>
      <c r="GD34" s="4">
        <f>SUM(FZ34,GA34,GB34:GC34)</f>
        <v>1091</v>
      </c>
    </row>
    <row r="35" spans="1:186" ht="14.65" thickBot="1" x14ac:dyDescent="0.5">
      <c r="A35" s="2" t="s">
        <v>21</v>
      </c>
      <c r="B35" s="8">
        <v>182</v>
      </c>
      <c r="C35" s="8">
        <v>0</v>
      </c>
      <c r="D35" s="8">
        <v>23</v>
      </c>
      <c r="E35" s="8">
        <v>46</v>
      </c>
      <c r="F35" s="8">
        <v>251</v>
      </c>
      <c r="G35" s="8">
        <v>235</v>
      </c>
      <c r="H35" s="8">
        <v>0</v>
      </c>
      <c r="I35" s="8">
        <v>1</v>
      </c>
      <c r="J35" s="8">
        <v>0</v>
      </c>
      <c r="K35" s="8">
        <v>236</v>
      </c>
      <c r="L35" s="8">
        <v>116</v>
      </c>
      <c r="M35" s="8">
        <v>8</v>
      </c>
      <c r="N35" s="8">
        <v>0</v>
      </c>
      <c r="O35" s="8">
        <v>0</v>
      </c>
      <c r="P35" s="8">
        <v>124</v>
      </c>
      <c r="Q35" s="8">
        <v>0</v>
      </c>
      <c r="R35" s="8">
        <v>0</v>
      </c>
      <c r="S35" s="8">
        <v>0</v>
      </c>
      <c r="T35" s="8">
        <v>5</v>
      </c>
      <c r="U35" s="8">
        <v>5</v>
      </c>
      <c r="V35" s="8">
        <v>14</v>
      </c>
      <c r="W35" s="8">
        <v>0</v>
      </c>
      <c r="X35" s="8">
        <v>0</v>
      </c>
      <c r="Y35" s="8">
        <v>0</v>
      </c>
      <c r="Z35" s="8">
        <v>14</v>
      </c>
      <c r="AA35" s="8">
        <v>6</v>
      </c>
      <c r="AB35" s="8">
        <v>4</v>
      </c>
      <c r="AC35" s="8">
        <v>0</v>
      </c>
      <c r="AD35" s="8">
        <v>0</v>
      </c>
      <c r="AE35" s="8">
        <v>10</v>
      </c>
      <c r="AF35" s="8">
        <v>0</v>
      </c>
      <c r="AG35" s="8">
        <v>0</v>
      </c>
      <c r="AH35" s="8">
        <v>0</v>
      </c>
      <c r="AI35" s="8">
        <v>9</v>
      </c>
      <c r="AJ35" s="8">
        <v>9</v>
      </c>
      <c r="AK35" s="8">
        <v>27</v>
      </c>
      <c r="AL35" s="8">
        <v>0</v>
      </c>
      <c r="AM35" s="8">
        <v>0</v>
      </c>
      <c r="AN35" s="8">
        <v>0</v>
      </c>
      <c r="AO35" s="8">
        <v>27</v>
      </c>
      <c r="AP35" s="8">
        <v>8</v>
      </c>
      <c r="AQ35" s="8">
        <v>0</v>
      </c>
      <c r="AR35" s="8">
        <v>0</v>
      </c>
      <c r="AS35" s="8">
        <v>0</v>
      </c>
      <c r="AT35" s="8">
        <v>8</v>
      </c>
      <c r="AU35" s="8">
        <v>0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78</v>
      </c>
      <c r="BK35" s="8">
        <v>0</v>
      </c>
      <c r="BL35" s="8">
        <v>28</v>
      </c>
      <c r="BM35" s="8">
        <v>36</v>
      </c>
      <c r="BN35" s="8">
        <v>142</v>
      </c>
      <c r="BO35" s="8">
        <v>126</v>
      </c>
      <c r="BP35" s="8">
        <v>0</v>
      </c>
      <c r="BQ35" s="8">
        <v>3</v>
      </c>
      <c r="BR35" s="8">
        <v>0</v>
      </c>
      <c r="BS35" s="8">
        <v>129</v>
      </c>
      <c r="BT35" s="8">
        <v>89</v>
      </c>
      <c r="BU35" s="8">
        <v>19</v>
      </c>
      <c r="BV35" s="8">
        <v>0</v>
      </c>
      <c r="BW35" s="8">
        <v>0</v>
      </c>
      <c r="BX35" s="8">
        <v>108</v>
      </c>
      <c r="BY35" s="8">
        <v>0</v>
      </c>
      <c r="BZ35" s="8">
        <v>0</v>
      </c>
      <c r="CA35" s="8">
        <v>6</v>
      </c>
      <c r="CB35" s="8">
        <v>2</v>
      </c>
      <c r="CC35" s="8">
        <v>8</v>
      </c>
      <c r="CD35" s="8">
        <v>11</v>
      </c>
      <c r="CE35" s="8">
        <v>0</v>
      </c>
      <c r="CF35" s="8">
        <v>0</v>
      </c>
      <c r="CG35" s="8">
        <v>0</v>
      </c>
      <c r="CH35" s="8">
        <v>11</v>
      </c>
      <c r="CI35" s="8">
        <v>17</v>
      </c>
      <c r="CJ35" s="8">
        <v>3</v>
      </c>
      <c r="CK35" s="8">
        <v>0</v>
      </c>
      <c r="CL35" s="8">
        <v>0</v>
      </c>
      <c r="CM35" s="8">
        <v>20</v>
      </c>
      <c r="CN35" s="8">
        <v>0</v>
      </c>
      <c r="CO35" s="8">
        <v>0</v>
      </c>
      <c r="CP35" s="8">
        <v>0</v>
      </c>
      <c r="CQ35" s="8">
        <v>2</v>
      </c>
      <c r="CR35" s="8">
        <v>2</v>
      </c>
      <c r="CS35" s="8">
        <v>2</v>
      </c>
      <c r="CT35" s="8">
        <v>0</v>
      </c>
      <c r="CU35" s="8">
        <v>0</v>
      </c>
      <c r="CV35" s="8">
        <v>0</v>
      </c>
      <c r="CW35" s="8">
        <v>2</v>
      </c>
      <c r="CX35" s="8">
        <v>8</v>
      </c>
      <c r="CY35" s="8">
        <v>0</v>
      </c>
      <c r="CZ35" s="8">
        <v>0</v>
      </c>
      <c r="DA35" s="8">
        <v>0</v>
      </c>
      <c r="DB35" s="8">
        <v>8</v>
      </c>
      <c r="DC35" s="8">
        <v>0</v>
      </c>
      <c r="DD35" s="8">
        <v>0</v>
      </c>
      <c r="DE35" s="8">
        <v>0</v>
      </c>
      <c r="DF35" s="8">
        <v>0</v>
      </c>
      <c r="DG35" s="8">
        <v>0</v>
      </c>
      <c r="DH35" s="8">
        <v>0</v>
      </c>
      <c r="DI35" s="8">
        <v>0</v>
      </c>
      <c r="DJ35" s="8">
        <v>0</v>
      </c>
      <c r="DK35" s="8">
        <v>0</v>
      </c>
      <c r="DL35" s="8">
        <v>0</v>
      </c>
      <c r="DM35" s="8">
        <v>0</v>
      </c>
      <c r="DN35" s="8">
        <v>0</v>
      </c>
      <c r="DO35" s="8">
        <v>0</v>
      </c>
      <c r="DP35" s="8">
        <v>0</v>
      </c>
      <c r="DQ35" s="8">
        <v>0</v>
      </c>
      <c r="DR35" s="8">
        <v>1</v>
      </c>
      <c r="DS35" s="8">
        <v>0</v>
      </c>
      <c r="DT35" s="8">
        <v>7</v>
      </c>
      <c r="DU35" s="8">
        <v>0</v>
      </c>
      <c r="DV35" s="8">
        <v>8</v>
      </c>
      <c r="DW35" s="8">
        <v>0</v>
      </c>
      <c r="DX35" s="8">
        <v>3</v>
      </c>
      <c r="DY35" s="8">
        <v>0</v>
      </c>
      <c r="DZ35" s="8">
        <v>0</v>
      </c>
      <c r="EA35" s="8">
        <v>3</v>
      </c>
      <c r="EB35" s="8">
        <v>1</v>
      </c>
      <c r="EC35" s="8"/>
      <c r="ED35" s="8">
        <v>0</v>
      </c>
      <c r="EE35" s="8">
        <v>0</v>
      </c>
      <c r="EF35" s="8">
        <v>1</v>
      </c>
      <c r="EG35" s="8">
        <v>0</v>
      </c>
      <c r="EH35" s="8">
        <v>3</v>
      </c>
      <c r="EI35" s="8">
        <v>0</v>
      </c>
      <c r="EJ35" s="8">
        <v>0</v>
      </c>
      <c r="EK35" s="8">
        <v>3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1</v>
      </c>
      <c r="FG35" s="8">
        <v>0</v>
      </c>
      <c r="FH35" s="8">
        <v>13</v>
      </c>
      <c r="FI35" s="8">
        <v>0</v>
      </c>
      <c r="FJ35" s="8">
        <v>14</v>
      </c>
      <c r="FK35" s="8">
        <v>0</v>
      </c>
      <c r="FL35" s="8">
        <v>0</v>
      </c>
      <c r="FM35" s="8">
        <v>3</v>
      </c>
      <c r="FN35" s="8">
        <v>0</v>
      </c>
      <c r="FO35" s="8">
        <v>3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4">
        <f>SUM(F35,K35,P35,BN35,BS35,BX35,DV35,EA35,FJ35)</f>
        <v>1015</v>
      </c>
      <c r="GA35" s="4">
        <f t="shared" ref="GA35:GA37" si="19">SUM(U35,Z35,AE35,CC35,CH35,CM35,EF35,EK35,FO35)</f>
        <v>75</v>
      </c>
      <c r="GB35" s="4">
        <f t="shared" ref="GB35:GB37" si="20">SUM(AJ35,AO35,AT35,CR35,CW35,DB35,EP35,EU35,FT35)</f>
        <v>56</v>
      </c>
      <c r="GC35" s="4">
        <f t="shared" ref="GC35:GC37" si="21">SUM(AY35,BD35,BI35,DG35,DL35,DQ35,EZ35,FE35,FY35)</f>
        <v>0</v>
      </c>
      <c r="GD35" s="4">
        <f t="shared" ref="GD35:GD37" si="22">SUM(FZ35,GA35,GB35:GC35)</f>
        <v>1146</v>
      </c>
    </row>
    <row r="36" spans="1:186" ht="14.65" thickBot="1" x14ac:dyDescent="0.5">
      <c r="A36" s="2" t="s">
        <v>22</v>
      </c>
      <c r="B36" s="16">
        <v>176</v>
      </c>
      <c r="C36" s="15">
        <v>0</v>
      </c>
      <c r="D36" s="15">
        <v>37</v>
      </c>
      <c r="E36" s="14">
        <v>25</v>
      </c>
      <c r="F36" s="14">
        <v>238</v>
      </c>
      <c r="G36" s="14">
        <v>217</v>
      </c>
      <c r="H36" s="14">
        <v>0</v>
      </c>
      <c r="I36" s="14">
        <v>3</v>
      </c>
      <c r="J36" s="14">
        <v>0</v>
      </c>
      <c r="K36" s="14">
        <v>220</v>
      </c>
      <c r="L36" s="14">
        <v>153</v>
      </c>
      <c r="M36" s="14">
        <v>3</v>
      </c>
      <c r="N36" s="14">
        <v>0</v>
      </c>
      <c r="O36" s="14">
        <v>0</v>
      </c>
      <c r="P36" s="14">
        <v>156</v>
      </c>
      <c r="Q36" s="14">
        <v>1</v>
      </c>
      <c r="R36" s="14">
        <v>0</v>
      </c>
      <c r="S36" s="14">
        <v>3</v>
      </c>
      <c r="T36" s="14">
        <v>10</v>
      </c>
      <c r="U36" s="14">
        <v>14</v>
      </c>
      <c r="V36" s="14">
        <v>9</v>
      </c>
      <c r="W36" s="14">
        <v>0</v>
      </c>
      <c r="X36" s="14">
        <v>0</v>
      </c>
      <c r="Y36" s="14">
        <v>0</v>
      </c>
      <c r="Z36" s="14">
        <v>9</v>
      </c>
      <c r="AA36" s="14">
        <v>7</v>
      </c>
      <c r="AB36" s="14">
        <v>1</v>
      </c>
      <c r="AC36" s="14">
        <v>0</v>
      </c>
      <c r="AD36" s="14">
        <v>0</v>
      </c>
      <c r="AE36" s="14">
        <v>8</v>
      </c>
      <c r="AF36" s="14">
        <v>0</v>
      </c>
      <c r="AG36" s="14">
        <v>0</v>
      </c>
      <c r="AH36" s="14">
        <v>0</v>
      </c>
      <c r="AI36" s="14">
        <v>1</v>
      </c>
      <c r="AJ36" s="14">
        <v>1</v>
      </c>
      <c r="AK36" s="14">
        <v>29</v>
      </c>
      <c r="AL36" s="14">
        <v>0</v>
      </c>
      <c r="AM36" s="14">
        <v>0</v>
      </c>
      <c r="AN36" s="14">
        <v>0</v>
      </c>
      <c r="AO36" s="14">
        <v>29</v>
      </c>
      <c r="AP36" s="14">
        <v>16</v>
      </c>
      <c r="AQ36" s="14">
        <v>2</v>
      </c>
      <c r="AR36" s="14">
        <v>0</v>
      </c>
      <c r="AS36" s="14">
        <v>0</v>
      </c>
      <c r="AT36" s="14">
        <v>18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77</v>
      </c>
      <c r="BK36" s="14">
        <v>0</v>
      </c>
      <c r="BL36" s="14">
        <v>34</v>
      </c>
      <c r="BM36" s="14">
        <v>26</v>
      </c>
      <c r="BN36" s="14">
        <v>137</v>
      </c>
      <c r="BO36" s="14">
        <v>192</v>
      </c>
      <c r="BP36" s="14">
        <v>0</v>
      </c>
      <c r="BQ36" s="14">
        <v>0</v>
      </c>
      <c r="BR36" s="14">
        <v>0</v>
      </c>
      <c r="BS36" s="14">
        <v>192</v>
      </c>
      <c r="BT36" s="14">
        <v>88</v>
      </c>
      <c r="BU36" s="14">
        <v>36</v>
      </c>
      <c r="BV36" s="14">
        <v>0</v>
      </c>
      <c r="BW36" s="14">
        <v>0</v>
      </c>
      <c r="BX36" s="14">
        <v>124</v>
      </c>
      <c r="BY36" s="14">
        <v>5</v>
      </c>
      <c r="BZ36" s="14">
        <v>0</v>
      </c>
      <c r="CA36" s="14">
        <v>2</v>
      </c>
      <c r="CB36" s="14">
        <v>9</v>
      </c>
      <c r="CC36" s="14">
        <v>16</v>
      </c>
      <c r="CD36" s="14">
        <v>26</v>
      </c>
      <c r="CE36" s="14">
        <v>0</v>
      </c>
      <c r="CF36" s="14">
        <v>2</v>
      </c>
      <c r="CG36" s="14">
        <v>0</v>
      </c>
      <c r="CH36" s="14">
        <v>28</v>
      </c>
      <c r="CI36" s="14">
        <v>9</v>
      </c>
      <c r="CJ36" s="14">
        <v>2</v>
      </c>
      <c r="CK36" s="14">
        <v>0</v>
      </c>
      <c r="CL36" s="14">
        <v>0</v>
      </c>
      <c r="CM36" s="14">
        <v>11</v>
      </c>
      <c r="CN36" s="14">
        <v>0</v>
      </c>
      <c r="CO36" s="14">
        <v>0</v>
      </c>
      <c r="CP36" s="14">
        <v>1</v>
      </c>
      <c r="CQ36" s="14">
        <v>2</v>
      </c>
      <c r="CR36" s="14">
        <v>3</v>
      </c>
      <c r="CS36" s="14">
        <v>4</v>
      </c>
      <c r="CT36" s="14">
        <v>0</v>
      </c>
      <c r="CU36" s="14">
        <v>0</v>
      </c>
      <c r="CV36" s="14">
        <v>0</v>
      </c>
      <c r="CW36" s="14">
        <v>4</v>
      </c>
      <c r="CX36" s="14">
        <v>7</v>
      </c>
      <c r="CY36" s="14">
        <v>0</v>
      </c>
      <c r="CZ36" s="14">
        <v>0</v>
      </c>
      <c r="DA36" s="14">
        <v>0</v>
      </c>
      <c r="DB36" s="14">
        <v>7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1</v>
      </c>
      <c r="DN36" s="14">
        <v>0</v>
      </c>
      <c r="DO36" s="14">
        <v>0</v>
      </c>
      <c r="DP36" s="14">
        <v>0</v>
      </c>
      <c r="DQ36" s="14">
        <v>1</v>
      </c>
      <c r="DR36" s="14">
        <v>4</v>
      </c>
      <c r="DS36" s="14">
        <v>0</v>
      </c>
      <c r="DT36" s="14">
        <v>12</v>
      </c>
      <c r="DU36" s="14">
        <v>0</v>
      </c>
      <c r="DV36" s="14">
        <v>16</v>
      </c>
      <c r="DW36" s="14">
        <v>3</v>
      </c>
      <c r="DX36" s="14">
        <v>6</v>
      </c>
      <c r="DY36" s="14">
        <v>0</v>
      </c>
      <c r="DZ36" s="14">
        <v>0</v>
      </c>
      <c r="EA36" s="14">
        <v>9</v>
      </c>
      <c r="EB36" s="14">
        <v>0</v>
      </c>
      <c r="EC36" s="14">
        <v>0</v>
      </c>
      <c r="ED36" s="14">
        <v>2</v>
      </c>
      <c r="EE36" s="14">
        <v>0</v>
      </c>
      <c r="EF36" s="14">
        <v>2</v>
      </c>
      <c r="EG36" s="14">
        <v>0</v>
      </c>
      <c r="EH36" s="14">
        <v>1</v>
      </c>
      <c r="EI36" s="14">
        <v>0</v>
      </c>
      <c r="EJ36" s="14">
        <v>0</v>
      </c>
      <c r="EK36" s="14">
        <v>1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0</v>
      </c>
      <c r="FF36" s="14">
        <v>9</v>
      </c>
      <c r="FG36" s="14">
        <v>0</v>
      </c>
      <c r="FH36" s="14">
        <v>19</v>
      </c>
      <c r="FI36" s="14">
        <v>0</v>
      </c>
      <c r="FJ36" s="14">
        <v>28</v>
      </c>
      <c r="FK36" s="14">
        <v>1</v>
      </c>
      <c r="FL36" s="14">
        <v>0</v>
      </c>
      <c r="FM36" s="14">
        <v>2</v>
      </c>
      <c r="FN36" s="14">
        <v>0</v>
      </c>
      <c r="FO36" s="14">
        <v>2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4">
        <f>SUM(F36,K36,P36,BN36,BS36,BX36,DV36,EA36,FJ36)</f>
        <v>1120</v>
      </c>
      <c r="GA36" s="4">
        <f t="shared" si="19"/>
        <v>91</v>
      </c>
      <c r="GB36" s="4">
        <f t="shared" si="20"/>
        <v>62</v>
      </c>
      <c r="GC36" s="4">
        <f t="shared" si="21"/>
        <v>1</v>
      </c>
      <c r="GD36" s="4">
        <f t="shared" si="22"/>
        <v>1274</v>
      </c>
    </row>
    <row r="37" spans="1:186" ht="14.65" thickBot="1" x14ac:dyDescent="0.5">
      <c r="A37" s="7" t="s">
        <v>7</v>
      </c>
      <c r="B37" s="16">
        <v>157</v>
      </c>
      <c r="C37" s="15">
        <v>0</v>
      </c>
      <c r="D37" s="15">
        <v>25</v>
      </c>
      <c r="E37" s="14">
        <v>31</v>
      </c>
      <c r="F37" s="14">
        <v>213</v>
      </c>
      <c r="G37" s="14">
        <v>222</v>
      </c>
      <c r="H37" s="14">
        <v>0</v>
      </c>
      <c r="I37" s="14">
        <v>3</v>
      </c>
      <c r="J37" s="14">
        <v>0</v>
      </c>
      <c r="K37" s="14">
        <v>225</v>
      </c>
      <c r="L37" s="14">
        <v>122</v>
      </c>
      <c r="M37" s="14">
        <v>10</v>
      </c>
      <c r="N37" s="14">
        <v>0</v>
      </c>
      <c r="O37" s="14">
        <v>0</v>
      </c>
      <c r="P37" s="14">
        <v>132</v>
      </c>
      <c r="Q37" s="14">
        <v>0</v>
      </c>
      <c r="R37" s="14">
        <v>0</v>
      </c>
      <c r="S37" s="14">
        <v>0</v>
      </c>
      <c r="T37" s="14">
        <v>5</v>
      </c>
      <c r="U37" s="14">
        <v>5</v>
      </c>
      <c r="V37" s="14">
        <v>19</v>
      </c>
      <c r="W37" s="14">
        <v>0</v>
      </c>
      <c r="X37" s="14">
        <v>0</v>
      </c>
      <c r="Y37" s="14">
        <v>0</v>
      </c>
      <c r="Z37" s="14">
        <v>19</v>
      </c>
      <c r="AA37" s="14">
        <v>6</v>
      </c>
      <c r="AB37" s="14">
        <v>6</v>
      </c>
      <c r="AC37" s="14">
        <v>0</v>
      </c>
      <c r="AD37" s="14">
        <v>0</v>
      </c>
      <c r="AE37" s="14">
        <v>12</v>
      </c>
      <c r="AF37" s="14">
        <v>0</v>
      </c>
      <c r="AG37" s="14">
        <v>0</v>
      </c>
      <c r="AH37" s="14">
        <v>1</v>
      </c>
      <c r="AI37" s="14">
        <v>3</v>
      </c>
      <c r="AJ37" s="14">
        <v>4</v>
      </c>
      <c r="AK37" s="14">
        <v>21</v>
      </c>
      <c r="AL37" s="14">
        <v>0</v>
      </c>
      <c r="AM37" s="14">
        <v>0</v>
      </c>
      <c r="AN37" s="14">
        <v>0</v>
      </c>
      <c r="AO37" s="14">
        <v>21</v>
      </c>
      <c r="AP37" s="14">
        <v>9</v>
      </c>
      <c r="AQ37" s="14">
        <v>1</v>
      </c>
      <c r="AR37" s="14">
        <v>0</v>
      </c>
      <c r="AS37" s="14">
        <v>0</v>
      </c>
      <c r="AT37" s="14">
        <v>10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76</v>
      </c>
      <c r="BK37" s="14">
        <v>0</v>
      </c>
      <c r="BL37" s="14">
        <v>27</v>
      </c>
      <c r="BM37" s="14">
        <v>30</v>
      </c>
      <c r="BN37" s="14">
        <v>133</v>
      </c>
      <c r="BO37" s="14">
        <v>175</v>
      </c>
      <c r="BP37" s="14">
        <v>0</v>
      </c>
      <c r="BQ37" s="14">
        <v>2</v>
      </c>
      <c r="BR37" s="14">
        <v>0</v>
      </c>
      <c r="BS37" s="14">
        <v>177</v>
      </c>
      <c r="BT37" s="14">
        <v>114</v>
      </c>
      <c r="BU37" s="14">
        <v>22</v>
      </c>
      <c r="BV37" s="14">
        <v>0</v>
      </c>
      <c r="BW37" s="14">
        <v>0</v>
      </c>
      <c r="BX37" s="14">
        <v>136</v>
      </c>
      <c r="BY37" s="14">
        <v>5</v>
      </c>
      <c r="BZ37" s="14">
        <v>0</v>
      </c>
      <c r="CA37" s="14">
        <v>4</v>
      </c>
      <c r="CB37" s="14">
        <v>15</v>
      </c>
      <c r="CC37" s="14">
        <v>24</v>
      </c>
      <c r="CD37" s="14">
        <v>13</v>
      </c>
      <c r="CE37" s="14">
        <v>0</v>
      </c>
      <c r="CF37" s="14">
        <v>3</v>
      </c>
      <c r="CG37" s="14">
        <v>0</v>
      </c>
      <c r="CH37" s="14">
        <v>16</v>
      </c>
      <c r="CI37" s="14">
        <v>2</v>
      </c>
      <c r="CJ37" s="14">
        <v>4</v>
      </c>
      <c r="CK37" s="14">
        <v>0</v>
      </c>
      <c r="CL37" s="14">
        <v>0</v>
      </c>
      <c r="CM37" s="14">
        <v>6</v>
      </c>
      <c r="CN37" s="14">
        <v>0</v>
      </c>
      <c r="CO37" s="14">
        <v>0</v>
      </c>
      <c r="CP37" s="14">
        <v>1</v>
      </c>
      <c r="CQ37" s="14">
        <v>0</v>
      </c>
      <c r="CR37" s="14">
        <v>1</v>
      </c>
      <c r="CS37" s="14">
        <v>9</v>
      </c>
      <c r="CT37" s="14">
        <v>0</v>
      </c>
      <c r="CU37" s="14">
        <v>0</v>
      </c>
      <c r="CV37" s="14">
        <v>0</v>
      </c>
      <c r="CW37" s="14">
        <v>9</v>
      </c>
      <c r="CX37" s="14">
        <v>13</v>
      </c>
      <c r="CY37" s="14">
        <v>0</v>
      </c>
      <c r="CZ37" s="14">
        <v>0</v>
      </c>
      <c r="DA37" s="14">
        <v>0</v>
      </c>
      <c r="DB37" s="14">
        <v>13</v>
      </c>
      <c r="DC37" s="14">
        <v>0</v>
      </c>
      <c r="DD37" s="14">
        <v>0</v>
      </c>
      <c r="DE37" s="14">
        <v>0</v>
      </c>
      <c r="DF37" s="14">
        <v>0</v>
      </c>
      <c r="DG37" s="14">
        <v>0</v>
      </c>
      <c r="DH37" s="14">
        <v>0</v>
      </c>
      <c r="DI37" s="14">
        <v>0</v>
      </c>
      <c r="DJ37" s="14">
        <v>0</v>
      </c>
      <c r="DK37" s="14">
        <v>0</v>
      </c>
      <c r="DL37" s="14">
        <v>0</v>
      </c>
      <c r="DM37" s="14">
        <v>0</v>
      </c>
      <c r="DN37" s="14">
        <v>0</v>
      </c>
      <c r="DO37" s="14">
        <v>0</v>
      </c>
      <c r="DP37" s="14">
        <v>0</v>
      </c>
      <c r="DQ37" s="14">
        <v>0</v>
      </c>
      <c r="DR37" s="14">
        <v>0</v>
      </c>
      <c r="DS37" s="14">
        <v>0</v>
      </c>
      <c r="DT37" s="14">
        <v>6</v>
      </c>
      <c r="DU37" s="14">
        <v>0</v>
      </c>
      <c r="DV37" s="14">
        <v>6</v>
      </c>
      <c r="DW37" s="14">
        <v>3</v>
      </c>
      <c r="DX37" s="14">
        <v>10</v>
      </c>
      <c r="DY37" s="14">
        <v>0</v>
      </c>
      <c r="DZ37" s="14">
        <v>0</v>
      </c>
      <c r="EA37" s="14">
        <v>13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1</v>
      </c>
      <c r="EH37" s="14">
        <v>0</v>
      </c>
      <c r="EI37" s="14">
        <v>0</v>
      </c>
      <c r="EJ37" s="14">
        <v>0</v>
      </c>
      <c r="EK37" s="14">
        <v>1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5</v>
      </c>
      <c r="FG37" s="14">
        <v>0</v>
      </c>
      <c r="FH37" s="14">
        <v>7</v>
      </c>
      <c r="FI37" s="14">
        <v>0</v>
      </c>
      <c r="FJ37" s="14">
        <v>12</v>
      </c>
      <c r="FK37" s="14">
        <v>0</v>
      </c>
      <c r="FL37" s="14">
        <v>0</v>
      </c>
      <c r="FM37" s="14">
        <v>1</v>
      </c>
      <c r="FN37" s="14">
        <v>0</v>
      </c>
      <c r="FO37" s="14">
        <v>1</v>
      </c>
      <c r="FP37" s="14">
        <v>0</v>
      </c>
      <c r="FQ37" s="14">
        <v>0</v>
      </c>
      <c r="FR37" s="14">
        <v>2</v>
      </c>
      <c r="FS37" s="14">
        <v>0</v>
      </c>
      <c r="FT37" s="14">
        <v>2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4">
        <f>SUM(F37,K37,P37,BN37,BS37,BX37,DV37,EA37,FJ37)</f>
        <v>1047</v>
      </c>
      <c r="GA37" s="4">
        <f t="shared" si="19"/>
        <v>84</v>
      </c>
      <c r="GB37" s="4">
        <f t="shared" si="20"/>
        <v>60</v>
      </c>
      <c r="GC37" s="4">
        <f t="shared" si="21"/>
        <v>0</v>
      </c>
      <c r="GD37" s="4">
        <f t="shared" si="22"/>
        <v>1191</v>
      </c>
    </row>
    <row r="38" spans="1:186" ht="14.65" thickBot="1" x14ac:dyDescent="0.5">
      <c r="A38" s="5" t="s">
        <v>5</v>
      </c>
      <c r="B38" s="16">
        <f>SUM(B34:B37)</f>
        <v>679</v>
      </c>
      <c r="C38" s="16">
        <f t="shared" ref="C38:BN38" si="23">SUM(C34:C37)</f>
        <v>0</v>
      </c>
      <c r="D38" s="16">
        <f t="shared" si="23"/>
        <v>102</v>
      </c>
      <c r="E38" s="16">
        <f t="shared" si="23"/>
        <v>141</v>
      </c>
      <c r="F38" s="16">
        <f t="shared" si="23"/>
        <v>922</v>
      </c>
      <c r="G38" s="16">
        <f t="shared" si="23"/>
        <v>921</v>
      </c>
      <c r="H38" s="16">
        <f t="shared" si="23"/>
        <v>0</v>
      </c>
      <c r="I38" s="16">
        <f t="shared" si="23"/>
        <v>7</v>
      </c>
      <c r="J38" s="16">
        <f t="shared" si="23"/>
        <v>0</v>
      </c>
      <c r="K38" s="16">
        <f t="shared" si="23"/>
        <v>928</v>
      </c>
      <c r="L38" s="16">
        <f t="shared" si="23"/>
        <v>538</v>
      </c>
      <c r="M38" s="16">
        <f t="shared" si="23"/>
        <v>23</v>
      </c>
      <c r="N38" s="16">
        <f t="shared" si="23"/>
        <v>0</v>
      </c>
      <c r="O38" s="16">
        <f t="shared" si="23"/>
        <v>0</v>
      </c>
      <c r="P38" s="16">
        <f t="shared" si="23"/>
        <v>561</v>
      </c>
      <c r="Q38" s="16">
        <f t="shared" si="23"/>
        <v>2</v>
      </c>
      <c r="R38" s="16">
        <f t="shared" si="23"/>
        <v>0</v>
      </c>
      <c r="S38" s="16">
        <f t="shared" si="23"/>
        <v>4</v>
      </c>
      <c r="T38" s="16">
        <f t="shared" si="23"/>
        <v>27</v>
      </c>
      <c r="U38" s="16">
        <f t="shared" si="23"/>
        <v>33</v>
      </c>
      <c r="V38" s="16">
        <f t="shared" si="23"/>
        <v>67</v>
      </c>
      <c r="W38" s="16">
        <f t="shared" si="23"/>
        <v>0</v>
      </c>
      <c r="X38" s="16">
        <f t="shared" si="23"/>
        <v>0</v>
      </c>
      <c r="Y38" s="16">
        <f t="shared" si="23"/>
        <v>0</v>
      </c>
      <c r="Z38" s="16">
        <f t="shared" si="23"/>
        <v>67</v>
      </c>
      <c r="AA38" s="16">
        <f t="shared" si="23"/>
        <v>21</v>
      </c>
      <c r="AB38" s="16">
        <f t="shared" si="23"/>
        <v>13</v>
      </c>
      <c r="AC38" s="16">
        <f t="shared" si="23"/>
        <v>0</v>
      </c>
      <c r="AD38" s="16">
        <f t="shared" si="23"/>
        <v>0</v>
      </c>
      <c r="AE38" s="16">
        <f t="shared" si="23"/>
        <v>34</v>
      </c>
      <c r="AF38" s="16">
        <f t="shared" si="23"/>
        <v>0</v>
      </c>
      <c r="AG38" s="16">
        <f t="shared" si="23"/>
        <v>0</v>
      </c>
      <c r="AH38" s="16">
        <f t="shared" si="23"/>
        <v>1</v>
      </c>
      <c r="AI38" s="16">
        <f t="shared" si="23"/>
        <v>15</v>
      </c>
      <c r="AJ38" s="16">
        <f t="shared" si="23"/>
        <v>16</v>
      </c>
      <c r="AK38" s="16">
        <f t="shared" si="23"/>
        <v>92</v>
      </c>
      <c r="AL38" s="16">
        <f t="shared" si="23"/>
        <v>0</v>
      </c>
      <c r="AM38" s="16">
        <f t="shared" si="23"/>
        <v>0</v>
      </c>
      <c r="AN38" s="16">
        <f t="shared" si="23"/>
        <v>0</v>
      </c>
      <c r="AO38" s="16">
        <f t="shared" si="23"/>
        <v>92</v>
      </c>
      <c r="AP38" s="16">
        <f t="shared" si="23"/>
        <v>36</v>
      </c>
      <c r="AQ38" s="16">
        <f t="shared" si="23"/>
        <v>3</v>
      </c>
      <c r="AR38" s="16">
        <f t="shared" si="23"/>
        <v>0</v>
      </c>
      <c r="AS38" s="16">
        <f t="shared" si="23"/>
        <v>0</v>
      </c>
      <c r="AT38" s="16">
        <f t="shared" si="23"/>
        <v>39</v>
      </c>
      <c r="AU38" s="16">
        <f t="shared" si="23"/>
        <v>0</v>
      </c>
      <c r="AV38" s="16">
        <f t="shared" si="23"/>
        <v>0</v>
      </c>
      <c r="AW38" s="16">
        <f t="shared" si="23"/>
        <v>0</v>
      </c>
      <c r="AX38" s="16">
        <f t="shared" si="23"/>
        <v>0</v>
      </c>
      <c r="AY38" s="16">
        <f t="shared" si="23"/>
        <v>0</v>
      </c>
      <c r="AZ38" s="16">
        <f t="shared" si="23"/>
        <v>0</v>
      </c>
      <c r="BA38" s="16">
        <f t="shared" si="23"/>
        <v>0</v>
      </c>
      <c r="BB38" s="16">
        <f t="shared" si="23"/>
        <v>0</v>
      </c>
      <c r="BC38" s="16">
        <f t="shared" si="23"/>
        <v>0</v>
      </c>
      <c r="BD38" s="16">
        <f t="shared" si="23"/>
        <v>0</v>
      </c>
      <c r="BE38" s="16">
        <f t="shared" si="23"/>
        <v>0</v>
      </c>
      <c r="BF38" s="16">
        <f t="shared" si="23"/>
        <v>0</v>
      </c>
      <c r="BG38" s="16">
        <f t="shared" si="23"/>
        <v>0</v>
      </c>
      <c r="BH38" s="16">
        <f t="shared" si="23"/>
        <v>0</v>
      </c>
      <c r="BI38" s="16">
        <f t="shared" si="23"/>
        <v>0</v>
      </c>
      <c r="BJ38" s="16">
        <f t="shared" si="23"/>
        <v>286</v>
      </c>
      <c r="BK38" s="16">
        <f t="shared" si="23"/>
        <v>0</v>
      </c>
      <c r="BL38" s="16">
        <f t="shared" si="23"/>
        <v>120</v>
      </c>
      <c r="BM38" s="16">
        <f t="shared" si="23"/>
        <v>132</v>
      </c>
      <c r="BN38" s="16">
        <f t="shared" si="23"/>
        <v>538</v>
      </c>
      <c r="BO38" s="16">
        <f t="shared" ref="BO38:DZ38" si="24">SUM(BO34:BO37)</f>
        <v>644</v>
      </c>
      <c r="BP38" s="16">
        <f t="shared" si="24"/>
        <v>0</v>
      </c>
      <c r="BQ38" s="16">
        <f t="shared" si="24"/>
        <v>8</v>
      </c>
      <c r="BR38" s="16">
        <f t="shared" si="24"/>
        <v>0</v>
      </c>
      <c r="BS38" s="16">
        <f t="shared" si="24"/>
        <v>652</v>
      </c>
      <c r="BT38" s="16">
        <f t="shared" si="24"/>
        <v>365</v>
      </c>
      <c r="BU38" s="16">
        <f t="shared" si="24"/>
        <v>102</v>
      </c>
      <c r="BV38" s="16">
        <f t="shared" si="24"/>
        <v>0</v>
      </c>
      <c r="BW38" s="16">
        <f t="shared" si="24"/>
        <v>0</v>
      </c>
      <c r="BX38" s="16">
        <f t="shared" si="24"/>
        <v>467</v>
      </c>
      <c r="BY38" s="16">
        <f t="shared" si="24"/>
        <v>10</v>
      </c>
      <c r="BZ38" s="16">
        <f t="shared" si="24"/>
        <v>0</v>
      </c>
      <c r="CA38" s="16">
        <f t="shared" si="24"/>
        <v>20</v>
      </c>
      <c r="CB38" s="16">
        <f t="shared" si="24"/>
        <v>27</v>
      </c>
      <c r="CC38" s="16">
        <f t="shared" si="24"/>
        <v>57</v>
      </c>
      <c r="CD38" s="16">
        <f t="shared" si="24"/>
        <v>55</v>
      </c>
      <c r="CE38" s="16">
        <f t="shared" si="24"/>
        <v>0</v>
      </c>
      <c r="CF38" s="16">
        <f t="shared" si="24"/>
        <v>5</v>
      </c>
      <c r="CG38" s="16">
        <f t="shared" si="24"/>
        <v>0</v>
      </c>
      <c r="CH38" s="16">
        <f t="shared" si="24"/>
        <v>60</v>
      </c>
      <c r="CI38" s="16">
        <f t="shared" si="24"/>
        <v>35</v>
      </c>
      <c r="CJ38" s="16">
        <f t="shared" si="24"/>
        <v>9</v>
      </c>
      <c r="CK38" s="16">
        <f t="shared" si="24"/>
        <v>0</v>
      </c>
      <c r="CL38" s="16">
        <f t="shared" si="24"/>
        <v>0</v>
      </c>
      <c r="CM38" s="16">
        <f t="shared" si="24"/>
        <v>44</v>
      </c>
      <c r="CN38" s="16">
        <f t="shared" si="24"/>
        <v>0</v>
      </c>
      <c r="CO38" s="16">
        <f t="shared" si="24"/>
        <v>0</v>
      </c>
      <c r="CP38" s="16">
        <f t="shared" si="24"/>
        <v>3</v>
      </c>
      <c r="CQ38" s="16">
        <f t="shared" si="24"/>
        <v>5</v>
      </c>
      <c r="CR38" s="16">
        <f t="shared" si="24"/>
        <v>8</v>
      </c>
      <c r="CS38" s="16">
        <f t="shared" si="24"/>
        <v>22</v>
      </c>
      <c r="CT38" s="16">
        <f t="shared" si="24"/>
        <v>0</v>
      </c>
      <c r="CU38" s="16">
        <f t="shared" si="24"/>
        <v>0</v>
      </c>
      <c r="CV38" s="16">
        <f t="shared" si="24"/>
        <v>0</v>
      </c>
      <c r="CW38" s="16">
        <f t="shared" si="24"/>
        <v>22</v>
      </c>
      <c r="CX38" s="16">
        <f t="shared" si="24"/>
        <v>29</v>
      </c>
      <c r="CY38" s="16">
        <f t="shared" si="24"/>
        <v>0</v>
      </c>
      <c r="CZ38" s="16">
        <f t="shared" si="24"/>
        <v>0</v>
      </c>
      <c r="DA38" s="16">
        <f t="shared" si="24"/>
        <v>0</v>
      </c>
      <c r="DB38" s="16">
        <f t="shared" si="24"/>
        <v>29</v>
      </c>
      <c r="DC38" s="16">
        <f t="shared" si="24"/>
        <v>0</v>
      </c>
      <c r="DD38" s="16">
        <f t="shared" si="24"/>
        <v>0</v>
      </c>
      <c r="DE38" s="16">
        <f t="shared" si="24"/>
        <v>0</v>
      </c>
      <c r="DF38" s="16">
        <f t="shared" si="24"/>
        <v>0</v>
      </c>
      <c r="DG38" s="16">
        <f t="shared" si="24"/>
        <v>0</v>
      </c>
      <c r="DH38" s="16">
        <f t="shared" si="24"/>
        <v>0</v>
      </c>
      <c r="DI38" s="16">
        <f t="shared" si="24"/>
        <v>0</v>
      </c>
      <c r="DJ38" s="16">
        <f t="shared" si="24"/>
        <v>0</v>
      </c>
      <c r="DK38" s="16">
        <f t="shared" si="24"/>
        <v>0</v>
      </c>
      <c r="DL38" s="16">
        <f t="shared" si="24"/>
        <v>0</v>
      </c>
      <c r="DM38" s="16">
        <f t="shared" si="24"/>
        <v>1</v>
      </c>
      <c r="DN38" s="16">
        <f t="shared" si="24"/>
        <v>0</v>
      </c>
      <c r="DO38" s="16">
        <f t="shared" si="24"/>
        <v>0</v>
      </c>
      <c r="DP38" s="16">
        <f t="shared" si="24"/>
        <v>0</v>
      </c>
      <c r="DQ38" s="16">
        <f t="shared" si="24"/>
        <v>1</v>
      </c>
      <c r="DR38" s="16">
        <f t="shared" si="24"/>
        <v>5</v>
      </c>
      <c r="DS38" s="16">
        <f t="shared" si="24"/>
        <v>0</v>
      </c>
      <c r="DT38" s="16">
        <f t="shared" si="24"/>
        <v>26</v>
      </c>
      <c r="DU38" s="16">
        <f t="shared" si="24"/>
        <v>0</v>
      </c>
      <c r="DV38" s="16">
        <f t="shared" si="24"/>
        <v>31</v>
      </c>
      <c r="DW38" s="16">
        <f t="shared" si="24"/>
        <v>6</v>
      </c>
      <c r="DX38" s="16">
        <f t="shared" si="24"/>
        <v>19</v>
      </c>
      <c r="DY38" s="16">
        <f t="shared" si="24"/>
        <v>0</v>
      </c>
      <c r="DZ38" s="16">
        <f t="shared" si="24"/>
        <v>0</v>
      </c>
      <c r="EA38" s="16">
        <f t="shared" ref="EA38:GD38" si="25">SUM(EA34:EA37)</f>
        <v>25</v>
      </c>
      <c r="EB38" s="16">
        <f t="shared" si="25"/>
        <v>1</v>
      </c>
      <c r="EC38" s="16">
        <f t="shared" si="25"/>
        <v>0</v>
      </c>
      <c r="ED38" s="16">
        <f t="shared" si="25"/>
        <v>2</v>
      </c>
      <c r="EE38" s="16">
        <f t="shared" si="25"/>
        <v>0</v>
      </c>
      <c r="EF38" s="16">
        <f t="shared" si="25"/>
        <v>3</v>
      </c>
      <c r="EG38" s="16">
        <f t="shared" si="25"/>
        <v>1</v>
      </c>
      <c r="EH38" s="16">
        <f t="shared" si="25"/>
        <v>4</v>
      </c>
      <c r="EI38" s="16">
        <f t="shared" si="25"/>
        <v>0</v>
      </c>
      <c r="EJ38" s="16">
        <f t="shared" si="25"/>
        <v>0</v>
      </c>
      <c r="EK38" s="16">
        <f t="shared" si="25"/>
        <v>5</v>
      </c>
      <c r="EL38" s="16">
        <f t="shared" si="25"/>
        <v>0</v>
      </c>
      <c r="EM38" s="16">
        <f t="shared" si="25"/>
        <v>0</v>
      </c>
      <c r="EN38" s="16">
        <f t="shared" si="25"/>
        <v>0</v>
      </c>
      <c r="EO38" s="16">
        <f t="shared" si="25"/>
        <v>0</v>
      </c>
      <c r="EP38" s="16">
        <f t="shared" si="25"/>
        <v>0</v>
      </c>
      <c r="EQ38" s="16">
        <f t="shared" si="25"/>
        <v>0</v>
      </c>
      <c r="ER38" s="16">
        <f t="shared" si="25"/>
        <v>0</v>
      </c>
      <c r="ES38" s="16">
        <f t="shared" si="25"/>
        <v>0</v>
      </c>
      <c r="ET38" s="16">
        <f t="shared" si="25"/>
        <v>0</v>
      </c>
      <c r="EU38" s="16">
        <f t="shared" si="25"/>
        <v>0</v>
      </c>
      <c r="EV38" s="16">
        <f t="shared" si="25"/>
        <v>0</v>
      </c>
      <c r="EW38" s="16">
        <f t="shared" si="25"/>
        <v>0</v>
      </c>
      <c r="EX38" s="16">
        <f t="shared" si="25"/>
        <v>0</v>
      </c>
      <c r="EY38" s="16">
        <f t="shared" si="25"/>
        <v>0</v>
      </c>
      <c r="EZ38" s="16">
        <f t="shared" si="25"/>
        <v>0</v>
      </c>
      <c r="FA38" s="16">
        <f t="shared" si="25"/>
        <v>0</v>
      </c>
      <c r="FB38" s="16">
        <f t="shared" si="25"/>
        <v>0</v>
      </c>
      <c r="FC38" s="16">
        <f t="shared" si="25"/>
        <v>0</v>
      </c>
      <c r="FD38" s="16">
        <f t="shared" si="25"/>
        <v>0</v>
      </c>
      <c r="FE38" s="16">
        <f t="shared" si="25"/>
        <v>0</v>
      </c>
      <c r="FF38" s="16">
        <f t="shared" si="25"/>
        <v>16</v>
      </c>
      <c r="FG38" s="16">
        <f t="shared" si="25"/>
        <v>0</v>
      </c>
      <c r="FH38" s="16">
        <f t="shared" si="25"/>
        <v>44</v>
      </c>
      <c r="FI38" s="16">
        <f t="shared" si="25"/>
        <v>0</v>
      </c>
      <c r="FJ38" s="16">
        <f t="shared" si="25"/>
        <v>60</v>
      </c>
      <c r="FK38" s="16">
        <f t="shared" si="25"/>
        <v>1</v>
      </c>
      <c r="FL38" s="16">
        <f t="shared" si="25"/>
        <v>0</v>
      </c>
      <c r="FM38" s="16">
        <f t="shared" si="25"/>
        <v>6</v>
      </c>
      <c r="FN38" s="16">
        <f t="shared" si="25"/>
        <v>0</v>
      </c>
      <c r="FO38" s="16">
        <f t="shared" si="25"/>
        <v>6</v>
      </c>
      <c r="FP38" s="16">
        <f t="shared" si="25"/>
        <v>0</v>
      </c>
      <c r="FQ38" s="16">
        <f t="shared" si="25"/>
        <v>0</v>
      </c>
      <c r="FR38" s="16">
        <f t="shared" si="25"/>
        <v>2</v>
      </c>
      <c r="FS38" s="16">
        <f t="shared" si="25"/>
        <v>0</v>
      </c>
      <c r="FT38" s="16">
        <f t="shared" si="25"/>
        <v>2</v>
      </c>
      <c r="FU38" s="16">
        <f t="shared" si="25"/>
        <v>0</v>
      </c>
      <c r="FV38" s="16">
        <f t="shared" si="25"/>
        <v>0</v>
      </c>
      <c r="FW38" s="16">
        <f t="shared" si="25"/>
        <v>0</v>
      </c>
      <c r="FX38" s="16">
        <f t="shared" si="25"/>
        <v>0</v>
      </c>
      <c r="FY38" s="16">
        <f t="shared" si="25"/>
        <v>0</v>
      </c>
      <c r="FZ38" s="16">
        <f t="shared" si="25"/>
        <v>4184</v>
      </c>
      <c r="GA38" s="16">
        <f t="shared" si="25"/>
        <v>309</v>
      </c>
      <c r="GB38" s="16">
        <f t="shared" si="25"/>
        <v>208</v>
      </c>
      <c r="GC38" s="16">
        <f t="shared" si="25"/>
        <v>1</v>
      </c>
      <c r="GD38" s="16">
        <f t="shared" si="25"/>
        <v>4702</v>
      </c>
    </row>
    <row r="39" spans="1:186" x14ac:dyDescent="0.45">
      <c r="GC39" t="s">
        <v>28</v>
      </c>
      <c r="GD39" s="20">
        <f>AVERAGE(GD34:GD37)</f>
        <v>1175.5</v>
      </c>
    </row>
    <row r="41" spans="1:186" x14ac:dyDescent="0.45">
      <c r="GC41" s="11" t="s">
        <v>29</v>
      </c>
      <c r="GD41" s="11">
        <f>AVERAGE(GD11,GD25,GD38)</f>
        <v>4580.333333333333</v>
      </c>
    </row>
    <row r="42" spans="1:186" x14ac:dyDescent="0.45"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</row>
  </sheetData>
  <mergeCells count="183">
    <mergeCell ref="FP4:FT4"/>
    <mergeCell ref="FP5:FT5"/>
    <mergeCell ref="FU4:FY4"/>
    <mergeCell ref="FU5:FY5"/>
    <mergeCell ref="FF3:FY3"/>
    <mergeCell ref="FF4:FJ4"/>
    <mergeCell ref="FF5:FJ5"/>
    <mergeCell ref="FK4:FO4"/>
    <mergeCell ref="FK5:FO5"/>
    <mergeCell ref="DR5:DV5"/>
    <mergeCell ref="DW5:EA5"/>
    <mergeCell ref="DR3:FE3"/>
    <mergeCell ref="EL4:EU4"/>
    <mergeCell ref="EL5:EP5"/>
    <mergeCell ref="EQ5:EU5"/>
    <mergeCell ref="EV4:FE4"/>
    <mergeCell ref="EV5:EZ5"/>
    <mergeCell ref="FA5:FE5"/>
    <mergeCell ref="DR4:EA4"/>
    <mergeCell ref="EB4:EK4"/>
    <mergeCell ref="EB5:EF5"/>
    <mergeCell ref="EG5:EK5"/>
    <mergeCell ref="Q5:U5"/>
    <mergeCell ref="B4:P4"/>
    <mergeCell ref="V5:Z5"/>
    <mergeCell ref="AA5:AE5"/>
    <mergeCell ref="B2:U2"/>
    <mergeCell ref="B3:BI3"/>
    <mergeCell ref="BJ3:DQ3"/>
    <mergeCell ref="BJ4:BX4"/>
    <mergeCell ref="BY4:CM4"/>
    <mergeCell ref="CN4:DB4"/>
    <mergeCell ref="DC4:DQ4"/>
    <mergeCell ref="CD5:CH5"/>
    <mergeCell ref="CI5:CM5"/>
    <mergeCell ref="CN5:CR5"/>
    <mergeCell ref="CS5:CW5"/>
    <mergeCell ref="CX5:DB5"/>
    <mergeCell ref="DC5:DG5"/>
    <mergeCell ref="DH5:DL5"/>
    <mergeCell ref="DM5:DQ5"/>
    <mergeCell ref="DR30:FE30"/>
    <mergeCell ref="EL31:EU31"/>
    <mergeCell ref="EL32:EP32"/>
    <mergeCell ref="EQ32:EU32"/>
    <mergeCell ref="A2:A5"/>
    <mergeCell ref="FZ3:GD5"/>
    <mergeCell ref="AP2:BI2"/>
    <mergeCell ref="V2:AO2"/>
    <mergeCell ref="AU4:BI4"/>
    <mergeCell ref="BJ5:BN5"/>
    <mergeCell ref="BO5:BS5"/>
    <mergeCell ref="BT5:BX5"/>
    <mergeCell ref="BY5:CC5"/>
    <mergeCell ref="AU5:AY5"/>
    <mergeCell ref="AZ5:BD5"/>
    <mergeCell ref="BE5:BI5"/>
    <mergeCell ref="AF4:AT4"/>
    <mergeCell ref="AF5:AJ5"/>
    <mergeCell ref="AK5:AO5"/>
    <mergeCell ref="AP5:AT5"/>
    <mergeCell ref="B5:F5"/>
    <mergeCell ref="G5:K5"/>
    <mergeCell ref="L5:P5"/>
    <mergeCell ref="Q4:AE4"/>
    <mergeCell ref="Q32:U32"/>
    <mergeCell ref="B31:P31"/>
    <mergeCell ref="V32:Z32"/>
    <mergeCell ref="AA32:AE32"/>
    <mergeCell ref="FZ30:GD32"/>
    <mergeCell ref="AP29:BI29"/>
    <mergeCell ref="V29:AO29"/>
    <mergeCell ref="AU31:BI31"/>
    <mergeCell ref="BJ32:BN32"/>
    <mergeCell ref="BO32:BS32"/>
    <mergeCell ref="BT32:BX32"/>
    <mergeCell ref="BY32:CC32"/>
    <mergeCell ref="AU32:AY32"/>
    <mergeCell ref="AZ32:BD32"/>
    <mergeCell ref="BE32:BI32"/>
    <mergeCell ref="AF31:AT31"/>
    <mergeCell ref="AF32:AJ32"/>
    <mergeCell ref="AK32:AO32"/>
    <mergeCell ref="AP32:AT32"/>
    <mergeCell ref="FF30:FY30"/>
    <mergeCell ref="FF31:FJ31"/>
    <mergeCell ref="FF32:FJ32"/>
    <mergeCell ref="FK31:FO31"/>
    <mergeCell ref="FK32:FO32"/>
    <mergeCell ref="FU31:FY31"/>
    <mergeCell ref="FU32:FY32"/>
    <mergeCell ref="DC32:DG32"/>
    <mergeCell ref="DH32:DL32"/>
    <mergeCell ref="DM32:DQ32"/>
    <mergeCell ref="CD32:CH32"/>
    <mergeCell ref="CI32:CM32"/>
    <mergeCell ref="CN32:CR32"/>
    <mergeCell ref="CS32:CW32"/>
    <mergeCell ref="CX32:DB32"/>
    <mergeCell ref="EV31:FE31"/>
    <mergeCell ref="EV32:EZ32"/>
    <mergeCell ref="FA32:FE32"/>
    <mergeCell ref="DR31:EA31"/>
    <mergeCell ref="EB31:EK31"/>
    <mergeCell ref="EB32:EF32"/>
    <mergeCell ref="EG32:EK32"/>
    <mergeCell ref="DR32:DV32"/>
    <mergeCell ref="DW32:EA32"/>
    <mergeCell ref="BY31:CM31"/>
    <mergeCell ref="CN31:DB31"/>
    <mergeCell ref="DC31:DQ31"/>
    <mergeCell ref="BJ19:BN19"/>
    <mergeCell ref="BO19:BS19"/>
    <mergeCell ref="A16:A19"/>
    <mergeCell ref="B16:U16"/>
    <mergeCell ref="V16:AO16"/>
    <mergeCell ref="AP16:BI16"/>
    <mergeCell ref="B17:BI17"/>
    <mergeCell ref="FP31:FT31"/>
    <mergeCell ref="FP32:FT32"/>
    <mergeCell ref="A29:A32"/>
    <mergeCell ref="AU19:AY19"/>
    <mergeCell ref="AZ19:BD19"/>
    <mergeCell ref="BE19:BI19"/>
    <mergeCell ref="BJ17:DQ17"/>
    <mergeCell ref="DR17:FE17"/>
    <mergeCell ref="FF17:FY17"/>
    <mergeCell ref="B29:U29"/>
    <mergeCell ref="B30:BI30"/>
    <mergeCell ref="BJ30:DQ30"/>
    <mergeCell ref="BJ31:BX31"/>
    <mergeCell ref="B32:F32"/>
    <mergeCell ref="G32:K32"/>
    <mergeCell ref="L32:P32"/>
    <mergeCell ref="Q31:AE31"/>
    <mergeCell ref="EL19:EP19"/>
    <mergeCell ref="EQ19:EU19"/>
    <mergeCell ref="FZ17:GD19"/>
    <mergeCell ref="B18:P18"/>
    <mergeCell ref="Q18:AE18"/>
    <mergeCell ref="AF18:AT18"/>
    <mergeCell ref="AU18:BI18"/>
    <mergeCell ref="BJ18:BX18"/>
    <mergeCell ref="BY18:CM18"/>
    <mergeCell ref="CN18:DB18"/>
    <mergeCell ref="DC18:DQ18"/>
    <mergeCell ref="DR18:EA18"/>
    <mergeCell ref="EB18:EK18"/>
    <mergeCell ref="EL18:EU18"/>
    <mergeCell ref="EV18:FE18"/>
    <mergeCell ref="B19:F19"/>
    <mergeCell ref="G19:K19"/>
    <mergeCell ref="L19:P19"/>
    <mergeCell ref="Q19:U19"/>
    <mergeCell ref="V19:Z19"/>
    <mergeCell ref="AA19:AE19"/>
    <mergeCell ref="AF19:AJ19"/>
    <mergeCell ref="AK19:AO19"/>
    <mergeCell ref="AP19:AT19"/>
    <mergeCell ref="EV19:EZ19"/>
    <mergeCell ref="FA19:FE19"/>
    <mergeCell ref="BT19:BX19"/>
    <mergeCell ref="BY19:CC19"/>
    <mergeCell ref="CD19:CH19"/>
    <mergeCell ref="FF18:FJ18"/>
    <mergeCell ref="FK18:FO18"/>
    <mergeCell ref="FP18:FT18"/>
    <mergeCell ref="FU18:FY18"/>
    <mergeCell ref="DH19:DL19"/>
    <mergeCell ref="DM19:DQ19"/>
    <mergeCell ref="DR19:DV19"/>
    <mergeCell ref="DW19:EA19"/>
    <mergeCell ref="EB19:EF19"/>
    <mergeCell ref="CI19:CM19"/>
    <mergeCell ref="CN19:CR19"/>
    <mergeCell ref="CS19:CW19"/>
    <mergeCell ref="CX19:DB19"/>
    <mergeCell ref="DC19:DG19"/>
    <mergeCell ref="FF19:FJ19"/>
    <mergeCell ref="FK19:FO19"/>
    <mergeCell ref="FP19:FT19"/>
    <mergeCell ref="FU19:FY19"/>
    <mergeCell ref="EG19:EK19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Theonette Maribojoc</dc:creator>
  <cp:lastModifiedBy>omax.22@gmail.com</cp:lastModifiedBy>
  <dcterms:created xsi:type="dcterms:W3CDTF">2025-09-13T18:49:19Z</dcterms:created>
  <dcterms:modified xsi:type="dcterms:W3CDTF">2025-10-09T16:34:21Z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2025-09-13T19:17:15Z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dc2b733b-a224-4576-9839-d0ca720b0032</vt:lpwstr>
  </property>
  <property fmtid="{D5CDD505-2E9C-101B-9397-08002B2CF9AE}" pid="7" name="MSIP_Label_defa4170-0d19-0005-0004-bc88714345d2_ActionId">
    <vt:lpwstr>25f6857e-878a-4af4-8206-ae232168ae92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